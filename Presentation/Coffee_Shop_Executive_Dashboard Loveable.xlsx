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skom-my.sharepoint.com/personal/mkolond_eskom_co_za/Documents/Documents/MPUME/Brighlearning Training/Assessment/"/>
    </mc:Choice>
  </mc:AlternateContent>
  <xr:revisionPtr revIDLastSave="0" documentId="8_{B980589E-2415-47EB-9601-A49D87884F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01 Executive Overview" sheetId="1" r:id="rId1"/>
    <sheet name="02 Sales &amp; Trends" sheetId="2" r:id="rId2"/>
    <sheet name="03 Product Intelligence" sheetId="3" r:id="rId3"/>
    <sheet name="04 Store Performance" sheetId="4" r:id="rId4"/>
    <sheet name="Data Mode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4" i="4" l="1"/>
  <c r="W23" i="4"/>
  <c r="W22" i="4"/>
  <c r="W21" i="4"/>
  <c r="U21" i="4"/>
  <c r="T21" i="4"/>
  <c r="S21" i="4"/>
  <c r="W20" i="4"/>
  <c r="U20" i="4"/>
  <c r="T20" i="4"/>
  <c r="S20" i="4"/>
  <c r="W19" i="4"/>
  <c r="U19" i="4"/>
  <c r="T19" i="4"/>
  <c r="S19" i="4"/>
  <c r="AB18" i="4"/>
  <c r="AA18" i="4"/>
  <c r="Z18" i="4"/>
  <c r="W18" i="4"/>
  <c r="U18" i="4"/>
  <c r="T18" i="4"/>
  <c r="S18" i="4"/>
  <c r="AB17" i="4"/>
  <c r="AA17" i="4"/>
  <c r="Z17" i="4"/>
  <c r="W17" i="4"/>
  <c r="U17" i="4"/>
  <c r="T17" i="4"/>
  <c r="S17" i="4"/>
  <c r="AB16" i="4"/>
  <c r="AA16" i="4"/>
  <c r="Z16" i="4"/>
  <c r="W16" i="4"/>
  <c r="U16" i="4"/>
  <c r="T16" i="4"/>
  <c r="S16" i="4"/>
  <c r="J10" i="4"/>
  <c r="F10" i="4"/>
  <c r="B10" i="4"/>
  <c r="M10" i="4" s="1"/>
  <c r="W24" i="3"/>
  <c r="W23" i="3"/>
  <c r="W22" i="3"/>
  <c r="W21" i="3"/>
  <c r="U21" i="3"/>
  <c r="T21" i="3"/>
  <c r="S21" i="3"/>
  <c r="W20" i="3"/>
  <c r="U20" i="3"/>
  <c r="T20" i="3"/>
  <c r="S20" i="3"/>
  <c r="W19" i="3"/>
  <c r="U19" i="3"/>
  <c r="T19" i="3"/>
  <c r="S19" i="3"/>
  <c r="W18" i="3"/>
  <c r="U18" i="3"/>
  <c r="T18" i="3"/>
  <c r="S18" i="3"/>
  <c r="W17" i="3"/>
  <c r="U17" i="3"/>
  <c r="T17" i="3"/>
  <c r="S17" i="3"/>
  <c r="W16" i="3"/>
  <c r="U16" i="3"/>
  <c r="T16" i="3"/>
  <c r="S16" i="3"/>
  <c r="J10" i="3"/>
  <c r="F10" i="3"/>
  <c r="B10" i="3"/>
  <c r="M10" i="3" s="1"/>
  <c r="W24" i="2"/>
  <c r="W23" i="2"/>
  <c r="W22" i="2"/>
  <c r="W21" i="2"/>
  <c r="U21" i="2"/>
  <c r="T21" i="2"/>
  <c r="S21" i="2"/>
  <c r="W20" i="2"/>
  <c r="U20" i="2"/>
  <c r="T20" i="2"/>
  <c r="S20" i="2"/>
  <c r="W19" i="2"/>
  <c r="U19" i="2"/>
  <c r="T19" i="2"/>
  <c r="S19" i="2"/>
  <c r="W18" i="2"/>
  <c r="U18" i="2"/>
  <c r="T18" i="2"/>
  <c r="S18" i="2"/>
  <c r="W17" i="2"/>
  <c r="U17" i="2"/>
  <c r="T17" i="2"/>
  <c r="S17" i="2"/>
  <c r="W16" i="2"/>
  <c r="U16" i="2"/>
  <c r="T16" i="2"/>
  <c r="S16" i="2"/>
  <c r="J10" i="2"/>
  <c r="F10" i="2"/>
  <c r="B10" i="2"/>
  <c r="M10" i="2" s="1"/>
  <c r="W24" i="1"/>
  <c r="W23" i="1"/>
  <c r="W22" i="1"/>
  <c r="W21" i="1"/>
  <c r="U21" i="1"/>
  <c r="T21" i="1"/>
  <c r="S21" i="1"/>
  <c r="W20" i="1"/>
  <c r="U20" i="1"/>
  <c r="T20" i="1"/>
  <c r="S20" i="1"/>
  <c r="W19" i="1"/>
  <c r="U19" i="1"/>
  <c r="T19" i="1"/>
  <c r="S19" i="1"/>
  <c r="W18" i="1"/>
  <c r="U18" i="1"/>
  <c r="T18" i="1"/>
  <c r="S18" i="1"/>
  <c r="W17" i="1"/>
  <c r="U17" i="1"/>
  <c r="T17" i="1"/>
  <c r="S17" i="1"/>
  <c r="W16" i="1"/>
  <c r="U16" i="1"/>
  <c r="T16" i="1"/>
  <c r="S16" i="1"/>
  <c r="J10" i="1"/>
  <c r="F10" i="1"/>
  <c r="B10" i="1"/>
  <c r="M10" i="1" s="1"/>
</calcChain>
</file>

<file path=xl/sharedStrings.xml><?xml version="1.0" encoding="utf-8"?>
<sst xmlns="http://schemas.openxmlformats.org/spreadsheetml/2006/main" count="353" uniqueCount="47">
  <si>
    <t>COFFEE SHOP | EXECUTIVE PULSE</t>
  </si>
  <si>
    <t>Performance overview  •  2023 Jan–Jun  •  Select a store and month to filter scorecards</t>
  </si>
  <si>
    <t>STORE</t>
  </si>
  <si>
    <t>MONTH</t>
  </si>
  <si>
    <t>All stores</t>
  </si>
  <si>
    <t>All months</t>
  </si>
  <si>
    <t>TOTAL REVENUE</t>
  </si>
  <si>
    <t>UNITS SOLD</t>
  </si>
  <si>
    <t>TRANSACTIONS</t>
  </si>
  <si>
    <t>REVENUE / UNIT</t>
  </si>
  <si>
    <t>Month</t>
  </si>
  <si>
    <t>Revenue</t>
  </si>
  <si>
    <t>Units</t>
  </si>
  <si>
    <t>Transactions</t>
  </si>
  <si>
    <t>Category</t>
  </si>
  <si>
    <t>Category Revenue</t>
  </si>
  <si>
    <t>Jan</t>
  </si>
  <si>
    <t>Bakery</t>
  </si>
  <si>
    <t>Feb</t>
  </si>
  <si>
    <t>Branded</t>
  </si>
  <si>
    <t>Mar</t>
  </si>
  <si>
    <t>Coffee</t>
  </si>
  <si>
    <t>Apr</t>
  </si>
  <si>
    <t>Coffee beans</t>
  </si>
  <si>
    <t>May</t>
  </si>
  <si>
    <t>Drinking Chocolate</t>
  </si>
  <si>
    <t>Jun</t>
  </si>
  <si>
    <t>Flavours</t>
  </si>
  <si>
    <t>Loose Tea</t>
  </si>
  <si>
    <t>Packaged Chocolate</t>
  </si>
  <si>
    <t>Tea</t>
  </si>
  <si>
    <t>SALES | REVENUE INTELLIGENCE</t>
  </si>
  <si>
    <t>Monthly momentum  •  Volume and transaction trends</t>
  </si>
  <si>
    <t>PRODUCT | CATEGORY INTELLIGENCE</t>
  </si>
  <si>
    <t>Portfolio performance  •  Revenue and volume mix</t>
  </si>
  <si>
    <t>STORES | LOCATION PERFORMANCE</t>
  </si>
  <si>
    <t>Store benchmarking  •  Revenue, sales and efficiency</t>
  </si>
  <si>
    <t>Store</t>
  </si>
  <si>
    <t>Astoria</t>
  </si>
  <si>
    <t>Hell's Kitchen</t>
  </si>
  <si>
    <t>Lower Manhattan</t>
  </si>
  <si>
    <t>Dimension</t>
  </si>
  <si>
    <t>Segment</t>
  </si>
  <si>
    <t>Revenue (R)</t>
  </si>
  <si>
    <t>Units Sold</t>
  </si>
  <si>
    <t>store_month</t>
  </si>
  <si>
    <t>category_month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</si>
</sst>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&quot;\ #,##0"/>
    <numFmt numFmtId="165" formatCode="&quot;R&quot;\ #,##0.00"/>
  </numFmts>
  <fonts count="7">
    <font>
      <sz val="11"/>
      <name val="Carlito"/>
    </font>
    <font>
      <b/>
      <sz val="11"/>
      <color rgb="FFFFFFFF"/>
      <name val="Carlito"/>
    </font>
    <font>
      <b/>
      <sz val="19"/>
      <color rgb="FFFFFFFF"/>
      <name val="Carlito"/>
    </font>
    <font>
      <sz val="10"/>
      <color rgb="FF123C60"/>
      <name val="Carlito"/>
    </font>
    <font>
      <b/>
      <sz val="11"/>
      <color rgb="FF123C60"/>
      <name val="Carlito"/>
    </font>
    <font>
      <sz val="11"/>
      <color rgb="FF123C60"/>
      <name val="Carlito"/>
    </font>
    <font>
      <b/>
      <sz val="18"/>
      <color rgb="FF123C6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87FA9"/>
      </patternFill>
    </fill>
    <fill>
      <patternFill patternType="solid">
        <fgColor rgb="FFFFFFFF"/>
      </patternFill>
    </fill>
    <fill>
      <patternFill patternType="solid">
        <fgColor rgb="FF123C60"/>
      </patternFill>
    </fill>
    <fill>
      <patternFill patternType="solid">
        <fgColor rgb="FFE8F6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3" borderId="0" xfId="0" applyFill="1"/>
    <xf numFmtId="0" fontId="5" fillId="3" borderId="0" xfId="0" applyFont="1" applyFill="1"/>
    <xf numFmtId="0" fontId="2" fillId="4" borderId="0" xfId="0" applyFont="1" applyFill="1"/>
    <xf numFmtId="0" fontId="3" fillId="5" borderId="0" xfId="0" applyFont="1" applyFill="1"/>
    <xf numFmtId="0" fontId="4" fillId="5" borderId="0" xfId="0" applyFont="1" applyFill="1"/>
    <xf numFmtId="0" fontId="1" fillId="2" borderId="0" xfId="0" applyFont="1" applyFill="1"/>
    <xf numFmtId="164" fontId="6" fillId="5" borderId="0" xfId="0" applyNumberFormat="1" applyFont="1" applyFill="1"/>
    <xf numFmtId="0" fontId="6" fillId="5" borderId="0" xfId="0" applyFont="1" applyFill="1"/>
    <xf numFmtId="3" fontId="6" fillId="5" borderId="0" xfId="0" applyNumberFormat="1" applyFont="1" applyFill="1"/>
    <xf numFmtId="165" fontId="6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REVENUE TREND</c:v>
          </c:tx>
          <c:marker>
            <c:symbol val="none"/>
          </c:marker>
          <c:cat>
            <c:strRef>
              <c:f>'01 Executive Overview'!$R$16:$R$21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'01 Executive Overview'!$S$16:$S$21</c:f>
              <c:numCache>
                <c:formatCode>General</c:formatCode>
                <c:ptCount val="6"/>
                <c:pt idx="0">
                  <c:v>81677.739999999991</c:v>
                </c:pt>
                <c:pt idx="1">
                  <c:v>76145.19</c:v>
                </c:pt>
                <c:pt idx="2">
                  <c:v>98834.68</c:v>
                </c:pt>
                <c:pt idx="3">
                  <c:v>118941.08</c:v>
                </c:pt>
                <c:pt idx="4">
                  <c:v>156727.76</c:v>
                </c:pt>
                <c:pt idx="5">
                  <c:v>166485.88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3F-47E7-BCFD-ADC3DBB1A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PRODUCT CATEGORY MIX</c:v>
          </c:tx>
          <c:invertIfNegative val="1"/>
          <c:cat>
            <c:strRef>
              <c:f>'01 Executive Overview'!$V$16:$V$24</c:f>
              <c:strCache>
                <c:ptCount val="9"/>
                <c:pt idx="0">
                  <c:v>Bakery</c:v>
                </c:pt>
                <c:pt idx="1">
                  <c:v>Branded</c:v>
                </c:pt>
                <c:pt idx="2">
                  <c:v>Coffee</c:v>
                </c:pt>
                <c:pt idx="3">
                  <c:v>Coffee beans</c:v>
                </c:pt>
                <c:pt idx="4">
                  <c:v>Drinking Chocolate</c:v>
                </c:pt>
                <c:pt idx="5">
                  <c:v>Flavours</c:v>
                </c:pt>
                <c:pt idx="6">
                  <c:v>Loose Tea</c:v>
                </c:pt>
                <c:pt idx="7">
                  <c:v>Packaged Chocolate</c:v>
                </c:pt>
                <c:pt idx="8">
                  <c:v>Tea</c:v>
                </c:pt>
              </c:strCache>
            </c:strRef>
          </c:cat>
          <c:val>
            <c:numRef>
              <c:f>'01 Executive Overview'!$W$16:$W$24</c:f>
              <c:numCache>
                <c:formatCode>General</c:formatCode>
                <c:ptCount val="9"/>
                <c:pt idx="0">
                  <c:v>82315.64</c:v>
                </c:pt>
                <c:pt idx="1">
                  <c:v>13607</c:v>
                </c:pt>
                <c:pt idx="2">
                  <c:v>269952.45</c:v>
                </c:pt>
                <c:pt idx="3">
                  <c:v>40085.25</c:v>
                </c:pt>
                <c:pt idx="4">
                  <c:v>72416</c:v>
                </c:pt>
                <c:pt idx="5">
                  <c:v>8408.8000000000011</c:v>
                </c:pt>
                <c:pt idx="6">
                  <c:v>11213.6</c:v>
                </c:pt>
                <c:pt idx="7">
                  <c:v>4407.6400000000003</c:v>
                </c:pt>
                <c:pt idx="8">
                  <c:v>196405.95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5A-4E6F-97A5-3399EE57A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UNITS BY MONTH</c:v>
          </c:tx>
          <c:invertIfNegative val="1"/>
          <c:cat>
            <c:strRef>
              <c:f>'01 Executive Overview'!$R$16:$R$21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'01 Executive Overview'!$T$16:$T$21</c:f>
              <c:numCache>
                <c:formatCode>General</c:formatCode>
                <c:ptCount val="6"/>
                <c:pt idx="0">
                  <c:v>24870</c:v>
                </c:pt>
                <c:pt idx="1">
                  <c:v>23550</c:v>
                </c:pt>
                <c:pt idx="2">
                  <c:v>30406</c:v>
                </c:pt>
                <c:pt idx="3">
                  <c:v>36469</c:v>
                </c:pt>
                <c:pt idx="4">
                  <c:v>48233</c:v>
                </c:pt>
                <c:pt idx="5">
                  <c:v>50942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1-4EC3-AA65-C6A044E20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TRANSACTIONS BY MONTH</c:v>
          </c:tx>
          <c:marker>
            <c:symbol val="none"/>
          </c:marker>
          <c:cat>
            <c:strRef>
              <c:f>'01 Executive Overview'!$R$16:$R$21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'01 Executive Overview'!$U$16:$U$21</c:f>
              <c:numCache>
                <c:formatCode>General</c:formatCode>
                <c:ptCount val="6"/>
                <c:pt idx="0">
                  <c:v>17314</c:v>
                </c:pt>
                <c:pt idx="1">
                  <c:v>16359</c:v>
                </c:pt>
                <c:pt idx="2">
                  <c:v>21229</c:v>
                </c:pt>
                <c:pt idx="3">
                  <c:v>25335</c:v>
                </c:pt>
                <c:pt idx="4">
                  <c:v>33527</c:v>
                </c:pt>
                <c:pt idx="5">
                  <c:v>35352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A3-4C1E-9D5F-D07794CC0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REVENUE TREND</c:v>
          </c:tx>
          <c:marker>
            <c:symbol val="none"/>
          </c:marker>
          <c:cat>
            <c:strRef>
              <c:f>'02 Sales &amp; Trends'!$R$16:$R$21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'02 Sales &amp; Trends'!$S$16:$S$21</c:f>
              <c:numCache>
                <c:formatCode>General</c:formatCode>
                <c:ptCount val="6"/>
                <c:pt idx="0">
                  <c:v>81677.739999999991</c:v>
                </c:pt>
                <c:pt idx="1">
                  <c:v>76145.19</c:v>
                </c:pt>
                <c:pt idx="2">
                  <c:v>98834.68</c:v>
                </c:pt>
                <c:pt idx="3">
                  <c:v>118941.08</c:v>
                </c:pt>
                <c:pt idx="4">
                  <c:v>156727.76</c:v>
                </c:pt>
                <c:pt idx="5">
                  <c:v>166485.88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6B-49BF-87E2-CACBF3848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PRODUCT CATEGORY MIX</c:v>
          </c:tx>
          <c:invertIfNegative val="1"/>
          <c:cat>
            <c:strRef>
              <c:f>'02 Sales &amp; Trends'!$V$16:$V$24</c:f>
              <c:strCache>
                <c:ptCount val="9"/>
                <c:pt idx="0">
                  <c:v>Bakery</c:v>
                </c:pt>
                <c:pt idx="1">
                  <c:v>Branded</c:v>
                </c:pt>
                <c:pt idx="2">
                  <c:v>Coffee</c:v>
                </c:pt>
                <c:pt idx="3">
                  <c:v>Coffee beans</c:v>
                </c:pt>
                <c:pt idx="4">
                  <c:v>Drinking Chocolate</c:v>
                </c:pt>
                <c:pt idx="5">
                  <c:v>Flavours</c:v>
                </c:pt>
                <c:pt idx="6">
                  <c:v>Loose Tea</c:v>
                </c:pt>
                <c:pt idx="7">
                  <c:v>Packaged Chocolate</c:v>
                </c:pt>
                <c:pt idx="8">
                  <c:v>Tea</c:v>
                </c:pt>
              </c:strCache>
            </c:strRef>
          </c:cat>
          <c:val>
            <c:numRef>
              <c:f>'02 Sales &amp; Trends'!$W$16:$W$24</c:f>
              <c:numCache>
                <c:formatCode>General</c:formatCode>
                <c:ptCount val="9"/>
                <c:pt idx="0">
                  <c:v>82315.64</c:v>
                </c:pt>
                <c:pt idx="1">
                  <c:v>13607</c:v>
                </c:pt>
                <c:pt idx="2">
                  <c:v>269952.45</c:v>
                </c:pt>
                <c:pt idx="3">
                  <c:v>40085.25</c:v>
                </c:pt>
                <c:pt idx="4">
                  <c:v>72416</c:v>
                </c:pt>
                <c:pt idx="5">
                  <c:v>8408.8000000000011</c:v>
                </c:pt>
                <c:pt idx="6">
                  <c:v>11213.6</c:v>
                </c:pt>
                <c:pt idx="7">
                  <c:v>4407.6400000000003</c:v>
                </c:pt>
                <c:pt idx="8">
                  <c:v>196405.95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2-4FBD-A571-E30EFBD12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UNITS BY MONTH</c:v>
          </c:tx>
          <c:invertIfNegative val="1"/>
          <c:cat>
            <c:strRef>
              <c:f>'02 Sales &amp; Trends'!$R$16:$R$21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'02 Sales &amp; Trends'!$T$16:$T$21</c:f>
              <c:numCache>
                <c:formatCode>General</c:formatCode>
                <c:ptCount val="6"/>
                <c:pt idx="0">
                  <c:v>24870</c:v>
                </c:pt>
                <c:pt idx="1">
                  <c:v>23550</c:v>
                </c:pt>
                <c:pt idx="2">
                  <c:v>30406</c:v>
                </c:pt>
                <c:pt idx="3">
                  <c:v>36469</c:v>
                </c:pt>
                <c:pt idx="4">
                  <c:v>48233</c:v>
                </c:pt>
                <c:pt idx="5">
                  <c:v>50942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3F-45AB-A1BD-26B602E9A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TRANSACTIONS BY MONTH</c:v>
          </c:tx>
          <c:marker>
            <c:symbol val="none"/>
          </c:marker>
          <c:cat>
            <c:strRef>
              <c:f>'02 Sales &amp; Trends'!$R$16:$R$21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'02 Sales &amp; Trends'!$U$16:$U$21</c:f>
              <c:numCache>
                <c:formatCode>General</c:formatCode>
                <c:ptCount val="6"/>
                <c:pt idx="0">
                  <c:v>17314</c:v>
                </c:pt>
                <c:pt idx="1">
                  <c:v>16359</c:v>
                </c:pt>
                <c:pt idx="2">
                  <c:v>21229</c:v>
                </c:pt>
                <c:pt idx="3">
                  <c:v>25335</c:v>
                </c:pt>
                <c:pt idx="4">
                  <c:v>33527</c:v>
                </c:pt>
                <c:pt idx="5">
                  <c:v>35352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13-407F-A480-FF913E43B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REVENUE TREND</c:v>
          </c:tx>
          <c:marker>
            <c:symbol val="none"/>
          </c:marker>
          <c:cat>
            <c:strRef>
              <c:f>'03 Product Intelligence'!$R$16:$R$21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'03 Product Intelligence'!$S$16:$S$21</c:f>
              <c:numCache>
                <c:formatCode>General</c:formatCode>
                <c:ptCount val="6"/>
                <c:pt idx="0">
                  <c:v>81677.739999999991</c:v>
                </c:pt>
                <c:pt idx="1">
                  <c:v>76145.19</c:v>
                </c:pt>
                <c:pt idx="2">
                  <c:v>98834.68</c:v>
                </c:pt>
                <c:pt idx="3">
                  <c:v>118941.08</c:v>
                </c:pt>
                <c:pt idx="4">
                  <c:v>156727.76</c:v>
                </c:pt>
                <c:pt idx="5">
                  <c:v>166485.88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76-4675-B94B-5EA443656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PRODUCT CATEGORY MIX</c:v>
          </c:tx>
          <c:invertIfNegative val="1"/>
          <c:cat>
            <c:strRef>
              <c:f>'03 Product Intelligence'!$V$16:$V$24</c:f>
              <c:strCache>
                <c:ptCount val="9"/>
                <c:pt idx="0">
                  <c:v>Bakery</c:v>
                </c:pt>
                <c:pt idx="1">
                  <c:v>Branded</c:v>
                </c:pt>
                <c:pt idx="2">
                  <c:v>Coffee</c:v>
                </c:pt>
                <c:pt idx="3">
                  <c:v>Coffee beans</c:v>
                </c:pt>
                <c:pt idx="4">
                  <c:v>Drinking Chocolate</c:v>
                </c:pt>
                <c:pt idx="5">
                  <c:v>Flavours</c:v>
                </c:pt>
                <c:pt idx="6">
                  <c:v>Loose Tea</c:v>
                </c:pt>
                <c:pt idx="7">
                  <c:v>Packaged Chocolate</c:v>
                </c:pt>
                <c:pt idx="8">
                  <c:v>Tea</c:v>
                </c:pt>
              </c:strCache>
            </c:strRef>
          </c:cat>
          <c:val>
            <c:numRef>
              <c:f>'03 Product Intelligence'!$W$16:$W$24</c:f>
              <c:numCache>
                <c:formatCode>General</c:formatCode>
                <c:ptCount val="9"/>
                <c:pt idx="0">
                  <c:v>82315.64</c:v>
                </c:pt>
                <c:pt idx="1">
                  <c:v>13607</c:v>
                </c:pt>
                <c:pt idx="2">
                  <c:v>269952.45</c:v>
                </c:pt>
                <c:pt idx="3">
                  <c:v>40085.25</c:v>
                </c:pt>
                <c:pt idx="4">
                  <c:v>72416</c:v>
                </c:pt>
                <c:pt idx="5">
                  <c:v>8408.8000000000011</c:v>
                </c:pt>
                <c:pt idx="6">
                  <c:v>11213.6</c:v>
                </c:pt>
                <c:pt idx="7">
                  <c:v>4407.6400000000003</c:v>
                </c:pt>
                <c:pt idx="8">
                  <c:v>196405.95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01-4DF0-88EE-DE96D2F15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UNITS BY MONTH</c:v>
          </c:tx>
          <c:invertIfNegative val="1"/>
          <c:cat>
            <c:strRef>
              <c:f>'03 Product Intelligence'!$R$16:$R$21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'03 Product Intelligence'!$T$16:$T$21</c:f>
              <c:numCache>
                <c:formatCode>General</c:formatCode>
                <c:ptCount val="6"/>
                <c:pt idx="0">
                  <c:v>24870</c:v>
                </c:pt>
                <c:pt idx="1">
                  <c:v>23550</c:v>
                </c:pt>
                <c:pt idx="2">
                  <c:v>30406</c:v>
                </c:pt>
                <c:pt idx="3">
                  <c:v>36469</c:v>
                </c:pt>
                <c:pt idx="4">
                  <c:v>48233</c:v>
                </c:pt>
                <c:pt idx="5">
                  <c:v>50942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E7-46FB-9828-65A65BDC0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TRANSACTIONS BY MONTH</c:v>
          </c:tx>
          <c:marker>
            <c:symbol val="none"/>
          </c:marker>
          <c:cat>
            <c:strRef>
              <c:f>'03 Product Intelligence'!$R$16:$R$21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'03 Product Intelligence'!$U$16:$U$21</c:f>
              <c:numCache>
                <c:formatCode>General</c:formatCode>
                <c:ptCount val="6"/>
                <c:pt idx="0">
                  <c:v>17314</c:v>
                </c:pt>
                <c:pt idx="1">
                  <c:v>16359</c:v>
                </c:pt>
                <c:pt idx="2">
                  <c:v>21229</c:v>
                </c:pt>
                <c:pt idx="3">
                  <c:v>25335</c:v>
                </c:pt>
                <c:pt idx="4">
                  <c:v>33527</c:v>
                </c:pt>
                <c:pt idx="5">
                  <c:v>35352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6B-4792-9EA7-2F8803D69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REVENUE TREND</c:v>
          </c:tx>
          <c:marker>
            <c:symbol val="none"/>
          </c:marker>
          <c:cat>
            <c:strRef>
              <c:f>'04 Store Performance'!$R$16:$R$21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'04 Store Performance'!$S$16:$S$21</c:f>
              <c:numCache>
                <c:formatCode>General</c:formatCode>
                <c:ptCount val="6"/>
                <c:pt idx="0">
                  <c:v>81677.739999999991</c:v>
                </c:pt>
                <c:pt idx="1">
                  <c:v>76145.19</c:v>
                </c:pt>
                <c:pt idx="2">
                  <c:v>98834.68</c:v>
                </c:pt>
                <c:pt idx="3">
                  <c:v>118941.08</c:v>
                </c:pt>
                <c:pt idx="4">
                  <c:v>156727.76</c:v>
                </c:pt>
                <c:pt idx="5">
                  <c:v>166485.88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49-4856-BB45-5DFE34D5B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PRODUCT CATEGORY MIX</c:v>
          </c:tx>
          <c:invertIfNegative val="1"/>
          <c:cat>
            <c:strRef>
              <c:f>'04 Store Performance'!$V$16:$V$24</c:f>
              <c:strCache>
                <c:ptCount val="9"/>
                <c:pt idx="0">
                  <c:v>Bakery</c:v>
                </c:pt>
                <c:pt idx="1">
                  <c:v>Branded</c:v>
                </c:pt>
                <c:pt idx="2">
                  <c:v>Coffee</c:v>
                </c:pt>
                <c:pt idx="3">
                  <c:v>Coffee beans</c:v>
                </c:pt>
                <c:pt idx="4">
                  <c:v>Drinking Chocolate</c:v>
                </c:pt>
                <c:pt idx="5">
                  <c:v>Flavours</c:v>
                </c:pt>
                <c:pt idx="6">
                  <c:v>Loose Tea</c:v>
                </c:pt>
                <c:pt idx="7">
                  <c:v>Packaged Chocolate</c:v>
                </c:pt>
                <c:pt idx="8">
                  <c:v>Tea</c:v>
                </c:pt>
              </c:strCache>
            </c:strRef>
          </c:cat>
          <c:val>
            <c:numRef>
              <c:f>'04 Store Performance'!$W$16:$W$24</c:f>
              <c:numCache>
                <c:formatCode>General</c:formatCode>
                <c:ptCount val="9"/>
                <c:pt idx="0">
                  <c:v>82315.64</c:v>
                </c:pt>
                <c:pt idx="1">
                  <c:v>13607</c:v>
                </c:pt>
                <c:pt idx="2">
                  <c:v>269952.45</c:v>
                </c:pt>
                <c:pt idx="3">
                  <c:v>40085.25</c:v>
                </c:pt>
                <c:pt idx="4">
                  <c:v>72416</c:v>
                </c:pt>
                <c:pt idx="5">
                  <c:v>8408.8000000000011</c:v>
                </c:pt>
                <c:pt idx="6">
                  <c:v>11213.6</c:v>
                </c:pt>
                <c:pt idx="7">
                  <c:v>4407.6400000000003</c:v>
                </c:pt>
                <c:pt idx="8">
                  <c:v>196405.95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F-43D8-A3EC-24134CF93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UNITS BY MONTH</c:v>
          </c:tx>
          <c:invertIfNegative val="1"/>
          <c:cat>
            <c:strRef>
              <c:f>'04 Store Performance'!$R$16:$R$21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'04 Store Performance'!$T$16:$T$21</c:f>
              <c:numCache>
                <c:formatCode>General</c:formatCode>
                <c:ptCount val="6"/>
                <c:pt idx="0">
                  <c:v>24870</c:v>
                </c:pt>
                <c:pt idx="1">
                  <c:v>23550</c:v>
                </c:pt>
                <c:pt idx="2">
                  <c:v>30406</c:v>
                </c:pt>
                <c:pt idx="3">
                  <c:v>36469</c:v>
                </c:pt>
                <c:pt idx="4">
                  <c:v>48233</c:v>
                </c:pt>
                <c:pt idx="5">
                  <c:v>50942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D9-473D-992C-07C90685A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TRANSACTIONS BY MONTH</c:v>
          </c:tx>
          <c:marker>
            <c:symbol val="none"/>
          </c:marker>
          <c:cat>
            <c:strRef>
              <c:f>'04 Store Performance'!$R$16:$R$21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'04 Store Performance'!$U$16:$U$21</c:f>
              <c:numCache>
                <c:formatCode>General</c:formatCode>
                <c:ptCount val="6"/>
                <c:pt idx="0">
                  <c:v>17314</c:v>
                </c:pt>
                <c:pt idx="1">
                  <c:v>16359</c:v>
                </c:pt>
                <c:pt idx="2">
                  <c:v>21229</c:v>
                </c:pt>
                <c:pt idx="3">
                  <c:v>25335</c:v>
                </c:pt>
                <c:pt idx="4">
                  <c:v>33527</c:v>
                </c:pt>
                <c:pt idx="5">
                  <c:v>35352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4A-4133-87B0-4CE73226E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STORE REVENUE COMPARISON</c:v>
          </c:tx>
          <c:invertIfNegative val="1"/>
          <c:cat>
            <c:strRef>
              <c:f>'04 Store Performance'!$Y$16:$Y$18</c:f>
              <c:strCache>
                <c:ptCount val="3"/>
                <c:pt idx="0">
                  <c:v>Astoria</c:v>
                </c:pt>
                <c:pt idx="1">
                  <c:v>Hell's Kitchen</c:v>
                </c:pt>
                <c:pt idx="2">
                  <c:v>Lower Manhattan</c:v>
                </c:pt>
              </c:strCache>
            </c:strRef>
          </c:cat>
          <c:val>
            <c:numRef>
              <c:f>'04 Store Performance'!$Z$16:$Z$18</c:f>
              <c:numCache>
                <c:formatCode>General</c:formatCode>
                <c:ptCount val="3"/>
                <c:pt idx="0">
                  <c:v>232243.91</c:v>
                </c:pt>
                <c:pt idx="1">
                  <c:v>236511.16999999998</c:v>
                </c:pt>
                <c:pt idx="2">
                  <c:v>230057.25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BE-4FA2-9C6A-EBE74EBFB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STORE VOLUME COMPARISON</c:v>
          </c:tx>
          <c:invertIfNegative val="1"/>
          <c:cat>
            <c:strRef>
              <c:f>'04 Store Performance'!$Y$16:$Y$18</c:f>
              <c:strCache>
                <c:ptCount val="3"/>
                <c:pt idx="0">
                  <c:v>Astoria</c:v>
                </c:pt>
                <c:pt idx="1">
                  <c:v>Hell's Kitchen</c:v>
                </c:pt>
                <c:pt idx="2">
                  <c:v>Lower Manhattan</c:v>
                </c:pt>
              </c:strCache>
            </c:strRef>
          </c:cat>
          <c:val>
            <c:numRef>
              <c:f>'04 Store Performance'!$AA$16:$AA$18</c:f>
              <c:numCache>
                <c:formatCode>General</c:formatCode>
                <c:ptCount val="3"/>
                <c:pt idx="0">
                  <c:v>70991</c:v>
                </c:pt>
                <c:pt idx="1">
                  <c:v>71737</c:v>
                </c:pt>
                <c:pt idx="2">
                  <c:v>71742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AE-4A02-AE6C-B6099EE24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14</xdr:row>
      <xdr:rowOff>0</xdr:rowOff>
    </xdr:from>
    <xdr:to>
      <xdr:col>15</xdr:col>
      <xdr:colOff>0</xdr:colOff>
      <xdr:row>30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31</xdr:row>
      <xdr:rowOff>0</xdr:rowOff>
    </xdr:from>
    <xdr:to>
      <xdr:col>9</xdr:col>
      <xdr:colOff>0</xdr:colOff>
      <xdr:row>47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31</xdr:row>
      <xdr:rowOff>0</xdr:rowOff>
    </xdr:from>
    <xdr:to>
      <xdr:col>15</xdr:col>
      <xdr:colOff>0</xdr:colOff>
      <xdr:row>47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14</xdr:row>
      <xdr:rowOff>0</xdr:rowOff>
    </xdr:from>
    <xdr:to>
      <xdr:col>15</xdr:col>
      <xdr:colOff>0</xdr:colOff>
      <xdr:row>30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31</xdr:row>
      <xdr:rowOff>0</xdr:rowOff>
    </xdr:from>
    <xdr:to>
      <xdr:col>9</xdr:col>
      <xdr:colOff>0</xdr:colOff>
      <xdr:row>47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31</xdr:row>
      <xdr:rowOff>0</xdr:rowOff>
    </xdr:from>
    <xdr:to>
      <xdr:col>15</xdr:col>
      <xdr:colOff>0</xdr:colOff>
      <xdr:row>47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14</xdr:row>
      <xdr:rowOff>0</xdr:rowOff>
    </xdr:from>
    <xdr:to>
      <xdr:col>15</xdr:col>
      <xdr:colOff>0</xdr:colOff>
      <xdr:row>30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31</xdr:row>
      <xdr:rowOff>0</xdr:rowOff>
    </xdr:from>
    <xdr:to>
      <xdr:col>9</xdr:col>
      <xdr:colOff>0</xdr:colOff>
      <xdr:row>47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31</xdr:row>
      <xdr:rowOff>0</xdr:rowOff>
    </xdr:from>
    <xdr:to>
      <xdr:col>15</xdr:col>
      <xdr:colOff>0</xdr:colOff>
      <xdr:row>47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14</xdr:row>
      <xdr:rowOff>0</xdr:rowOff>
    </xdr:from>
    <xdr:to>
      <xdr:col>15</xdr:col>
      <xdr:colOff>0</xdr:colOff>
      <xdr:row>30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31</xdr:row>
      <xdr:rowOff>0</xdr:rowOff>
    </xdr:from>
    <xdr:to>
      <xdr:col>9</xdr:col>
      <xdr:colOff>0</xdr:colOff>
      <xdr:row>47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31</xdr:row>
      <xdr:rowOff>0</xdr:rowOff>
    </xdr:from>
    <xdr:to>
      <xdr:col>15</xdr:col>
      <xdr:colOff>0</xdr:colOff>
      <xdr:row>47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9</xdr:col>
      <xdr:colOff>0</xdr:colOff>
      <xdr:row>65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48</xdr:row>
      <xdr:rowOff>0</xdr:rowOff>
    </xdr:from>
    <xdr:to>
      <xdr:col>15</xdr:col>
      <xdr:colOff>0</xdr:colOff>
      <xdr:row>65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2"/>
  <sheetViews>
    <sheetView tabSelected="1" workbookViewId="0">
      <pane ySplit="4" topLeftCell="A5" activePane="bottomLeft" state="frozen"/>
      <selection pane="bottomLeft"/>
    </sheetView>
  </sheetViews>
  <sheetFormatPr defaultRowHeight="14"/>
  <cols>
    <col min="1" max="1" width="4" customWidth="1"/>
    <col min="2" max="15" width="12" customWidth="1"/>
    <col min="16" max="16" width="4" customWidth="1"/>
    <col min="18" max="23" width="17" customWidth="1"/>
  </cols>
  <sheetData>
    <row r="1" spans="1:2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23" ht="24" customHeight="1">
      <c r="A2" s="2"/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"/>
    </row>
    <row r="3" spans="1:23" ht="24" customHeigh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2"/>
    </row>
    <row r="4" spans="1:23">
      <c r="A4" s="2"/>
      <c r="B4" s="5" t="s">
        <v>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2"/>
    </row>
    <row r="5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23">
      <c r="A6" s="2"/>
      <c r="B6" s="3" t="s">
        <v>2</v>
      </c>
      <c r="C6" s="3"/>
      <c r="D6" s="3"/>
      <c r="E6" s="3"/>
      <c r="F6" s="3" t="s">
        <v>3</v>
      </c>
      <c r="G6" s="3"/>
      <c r="H6" s="3"/>
      <c r="I6" s="2"/>
      <c r="J6" s="2"/>
      <c r="K6" s="2"/>
      <c r="L6" s="2"/>
      <c r="M6" s="2"/>
      <c r="N6" s="2"/>
      <c r="O6" s="2"/>
      <c r="P6" s="2"/>
    </row>
    <row r="7" spans="1:23">
      <c r="A7" s="2"/>
      <c r="B7" s="6" t="s">
        <v>4</v>
      </c>
      <c r="C7" s="6"/>
      <c r="D7" s="6"/>
      <c r="E7" s="2"/>
      <c r="F7" s="6" t="s">
        <v>5</v>
      </c>
      <c r="G7" s="6"/>
      <c r="H7" s="6"/>
      <c r="I7" s="2"/>
      <c r="J7" s="2"/>
      <c r="K7" s="2"/>
      <c r="L7" s="2"/>
      <c r="M7" s="2"/>
      <c r="N7" s="2"/>
      <c r="O7" s="2"/>
      <c r="P7" s="2"/>
    </row>
    <row r="8" spans="1:2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23" ht="25" customHeight="1">
      <c r="A9" s="2"/>
      <c r="B9" s="7" t="s">
        <v>6</v>
      </c>
      <c r="C9" s="7"/>
      <c r="D9" s="7"/>
      <c r="E9" s="2"/>
      <c r="F9" s="7" t="s">
        <v>7</v>
      </c>
      <c r="G9" s="7"/>
      <c r="H9" s="7"/>
      <c r="I9" s="2"/>
      <c r="J9" s="7" t="s">
        <v>8</v>
      </c>
      <c r="K9" s="7"/>
      <c r="L9" s="7"/>
      <c r="M9" s="7" t="s">
        <v>9</v>
      </c>
      <c r="N9" s="7"/>
      <c r="O9" s="7"/>
      <c r="P9" s="2"/>
    </row>
    <row r="10" spans="1:23" ht="23" customHeight="1">
      <c r="A10" s="2"/>
      <c r="B10" s="8">
        <f>IF($B$7="All stores",IF($F$7="All months",SUM('Data Model'!$D$2:$D$19),SUMIFS('Data Model'!$D$2:$D$19,'Data Model'!$C$2:$C$19,$F$7)),IF($F$7="All months",SUMIFS('Data Model'!$D$2:$D$19,'Data Model'!$B$2:$B$19,$B$7),SUMIFS('Data Model'!$D$2:$D$19,'Data Model'!$B$2:$B$19,$B$7,'Data Model'!$C$2:$C$19,$F$7)))</f>
        <v>698812.33000000007</v>
      </c>
      <c r="C10" s="9"/>
      <c r="D10" s="9"/>
      <c r="E10" s="2"/>
      <c r="F10" s="10">
        <f>IF($B$7="All stores",IF($F$7="All months",SUM('Data Model'!$E$2:$E$19),SUMIFS('Data Model'!$E$2:$E$19,'Data Model'!$C$2:$C$19,$F$7)),IF($F$7="All months",SUMIFS('Data Model'!$E$2:$E$19,'Data Model'!$B$2:$B$19,$B$7),SUMIFS('Data Model'!$E$2:$E$19,'Data Model'!$B$2:$B$19,$B$7,'Data Model'!$C$2:$C$19,$F$7)))</f>
        <v>214470</v>
      </c>
      <c r="G10" s="9"/>
      <c r="H10" s="9"/>
      <c r="I10" s="2"/>
      <c r="J10" s="10">
        <f>IF($B$7="All stores",IF($F$7="All months",SUM('Data Model'!$F$2:$F$19),SUMIFS('Data Model'!$F$2:$F$19,'Data Model'!$C$2:$C$19,$F$7)),IF($F$7="All months",SUMIFS('Data Model'!$F$2:$F$19,'Data Model'!$B$2:$B$19,$B$7),SUMIFS('Data Model'!$F$2:$F$19,'Data Model'!$B$2:$B$19,$B$7,'Data Model'!$C$2:$C$19,$F$7)))</f>
        <v>149116</v>
      </c>
      <c r="K10" s="9"/>
      <c r="L10" s="9"/>
      <c r="M10" s="11">
        <f>IFERROR(B10/F10,0)</f>
        <v>3.2583220497039216</v>
      </c>
      <c r="N10" s="9"/>
      <c r="O10" s="9"/>
      <c r="P10" s="2"/>
    </row>
    <row r="11" spans="1:23" ht="23" customHeight="1">
      <c r="A11" s="2"/>
      <c r="B11" s="9"/>
      <c r="C11" s="9"/>
      <c r="D11" s="9"/>
      <c r="E11" s="2"/>
      <c r="F11" s="9"/>
      <c r="G11" s="9"/>
      <c r="H11" s="9"/>
      <c r="I11" s="2"/>
      <c r="J11" s="9"/>
      <c r="K11" s="9"/>
      <c r="L11" s="9"/>
      <c r="M11" s="9"/>
      <c r="N11" s="9"/>
      <c r="O11" s="9"/>
      <c r="P11" s="2"/>
    </row>
    <row r="12" spans="1:23" ht="23" customHeight="1">
      <c r="A12" s="2"/>
      <c r="B12" s="9"/>
      <c r="C12" s="9"/>
      <c r="D12" s="9"/>
      <c r="E12" s="2"/>
      <c r="F12" s="9"/>
      <c r="G12" s="9"/>
      <c r="H12" s="9"/>
      <c r="I12" s="2"/>
      <c r="J12" s="9"/>
      <c r="K12" s="9"/>
      <c r="L12" s="9"/>
      <c r="M12" s="9"/>
      <c r="N12" s="9"/>
      <c r="O12" s="9"/>
      <c r="P12" s="2"/>
    </row>
    <row r="13" spans="1:2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2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2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R15" t="s">
        <v>10</v>
      </c>
      <c r="S15" t="s">
        <v>11</v>
      </c>
      <c r="T15" t="s">
        <v>12</v>
      </c>
      <c r="U15" t="s">
        <v>13</v>
      </c>
      <c r="V15" t="s">
        <v>14</v>
      </c>
      <c r="W15" t="s">
        <v>15</v>
      </c>
    </row>
    <row r="16" spans="1:2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R16" t="s">
        <v>16</v>
      </c>
      <c r="S16">
        <f>IF(OR($F$7="All months",$F$7=R16),IF($B$7="All stores",SUMIFS('Data Model'!$D$2:$D$19,'Data Model'!$C$2:$C$19,R16),SUMIFS('Data Model'!$D$2:$D$19,'Data Model'!$B$2:$B$19,$B$7,'Data Model'!$C$2:$C$19,R16)),0)</f>
        <v>81677.739999999991</v>
      </c>
      <c r="T16">
        <f>IF(OR($F$7="All months",$F$7=R16),IF($B$7="All stores",SUMIFS('Data Model'!$E$2:$E$19,'Data Model'!$C$2:$C$19,R16),SUMIFS('Data Model'!$E$2:$E$19,'Data Model'!$B$2:$B$19,$B$7,'Data Model'!$C$2:$C$19,R16)),0)</f>
        <v>24870</v>
      </c>
      <c r="U16">
        <f>IF(OR($F$7="All months",$F$7=R16),IF($B$7="All stores",SUMIFS('Data Model'!$F$2:$F$19,'Data Model'!$C$2:$C$19,R16),SUMIFS('Data Model'!$F$2:$F$19,'Data Model'!$B$2:$B$19,$B$7,'Data Model'!$C$2:$C$19,R16)),0)</f>
        <v>17314</v>
      </c>
      <c r="V16" t="s">
        <v>17</v>
      </c>
      <c r="W16">
        <f>IF($F$7="All months",SUMIFS('Data Model'!$D$20:$D$73,'Data Model'!$B$20:$B$73,V16),SUMIFS('Data Model'!$D$20:$D$73,'Data Model'!$B$20:$B$73,V16,'Data Model'!$C$20:$C$73,$F$7))</f>
        <v>82315.64</v>
      </c>
    </row>
    <row r="17" spans="1:2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R17" t="s">
        <v>18</v>
      </c>
      <c r="S17">
        <f>IF(OR($F$7="All months",$F$7=R17),IF($B$7="All stores",SUMIFS('Data Model'!$D$2:$D$19,'Data Model'!$C$2:$C$19,R17),SUMIFS('Data Model'!$D$2:$D$19,'Data Model'!$B$2:$B$19,$B$7,'Data Model'!$C$2:$C$19,R17)),0)</f>
        <v>76145.19</v>
      </c>
      <c r="T17">
        <f>IF(OR($F$7="All months",$F$7=R17),IF($B$7="All stores",SUMIFS('Data Model'!$E$2:$E$19,'Data Model'!$C$2:$C$19,R17),SUMIFS('Data Model'!$E$2:$E$19,'Data Model'!$B$2:$B$19,$B$7,'Data Model'!$C$2:$C$19,R17)),0)</f>
        <v>23550</v>
      </c>
      <c r="U17">
        <f>IF(OR($F$7="All months",$F$7=R17),IF($B$7="All stores",SUMIFS('Data Model'!$F$2:$F$19,'Data Model'!$C$2:$C$19,R17),SUMIFS('Data Model'!$F$2:$F$19,'Data Model'!$B$2:$B$19,$B$7,'Data Model'!$C$2:$C$19,R17)),0)</f>
        <v>16359</v>
      </c>
      <c r="V17" t="s">
        <v>19</v>
      </c>
      <c r="W17">
        <f>IF($F$7="All months",SUMIFS('Data Model'!$D$20:$D$73,'Data Model'!$B$20:$B$73,V17),SUMIFS('Data Model'!$D$20:$D$73,'Data Model'!$B$20:$B$73,V17,'Data Model'!$C$20:$C$73,$F$7))</f>
        <v>13607</v>
      </c>
    </row>
    <row r="18" spans="1:2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R18" t="s">
        <v>20</v>
      </c>
      <c r="S18">
        <f>IF(OR($F$7="All months",$F$7=R18),IF($B$7="All stores",SUMIFS('Data Model'!$D$2:$D$19,'Data Model'!$C$2:$C$19,R18),SUMIFS('Data Model'!$D$2:$D$19,'Data Model'!$B$2:$B$19,$B$7,'Data Model'!$C$2:$C$19,R18)),0)</f>
        <v>98834.68</v>
      </c>
      <c r="T18">
        <f>IF(OR($F$7="All months",$F$7=R18),IF($B$7="All stores",SUMIFS('Data Model'!$E$2:$E$19,'Data Model'!$C$2:$C$19,R18),SUMIFS('Data Model'!$E$2:$E$19,'Data Model'!$B$2:$B$19,$B$7,'Data Model'!$C$2:$C$19,R18)),0)</f>
        <v>30406</v>
      </c>
      <c r="U18">
        <f>IF(OR($F$7="All months",$F$7=R18),IF($B$7="All stores",SUMIFS('Data Model'!$F$2:$F$19,'Data Model'!$C$2:$C$19,R18),SUMIFS('Data Model'!$F$2:$F$19,'Data Model'!$B$2:$B$19,$B$7,'Data Model'!$C$2:$C$19,R18)),0)</f>
        <v>21229</v>
      </c>
      <c r="V18" t="s">
        <v>21</v>
      </c>
      <c r="W18">
        <f>IF($F$7="All months",SUMIFS('Data Model'!$D$20:$D$73,'Data Model'!$B$20:$B$73,V18),SUMIFS('Data Model'!$D$20:$D$73,'Data Model'!$B$20:$B$73,V18,'Data Model'!$C$20:$C$73,$F$7))</f>
        <v>269952.45</v>
      </c>
    </row>
    <row r="19" spans="1:2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R19" t="s">
        <v>22</v>
      </c>
      <c r="S19">
        <f>IF(OR($F$7="All months",$F$7=R19),IF($B$7="All stores",SUMIFS('Data Model'!$D$2:$D$19,'Data Model'!$C$2:$C$19,R19),SUMIFS('Data Model'!$D$2:$D$19,'Data Model'!$B$2:$B$19,$B$7,'Data Model'!$C$2:$C$19,R19)),0)</f>
        <v>118941.08</v>
      </c>
      <c r="T19">
        <f>IF(OR($F$7="All months",$F$7=R19),IF($B$7="All stores",SUMIFS('Data Model'!$E$2:$E$19,'Data Model'!$C$2:$C$19,R19),SUMIFS('Data Model'!$E$2:$E$19,'Data Model'!$B$2:$B$19,$B$7,'Data Model'!$C$2:$C$19,R19)),0)</f>
        <v>36469</v>
      </c>
      <c r="U19">
        <f>IF(OR($F$7="All months",$F$7=R19),IF($B$7="All stores",SUMIFS('Data Model'!$F$2:$F$19,'Data Model'!$C$2:$C$19,R19),SUMIFS('Data Model'!$F$2:$F$19,'Data Model'!$B$2:$B$19,$B$7,'Data Model'!$C$2:$C$19,R19)),0)</f>
        <v>25335</v>
      </c>
      <c r="V19" t="s">
        <v>23</v>
      </c>
      <c r="W19">
        <f>IF($F$7="All months",SUMIFS('Data Model'!$D$20:$D$73,'Data Model'!$B$20:$B$73,V19),SUMIFS('Data Model'!$D$20:$D$73,'Data Model'!$B$20:$B$73,V19,'Data Model'!$C$20:$C$73,$F$7))</f>
        <v>40085.25</v>
      </c>
    </row>
    <row r="20" spans="1:2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R20" t="s">
        <v>24</v>
      </c>
      <c r="S20">
        <f>IF(OR($F$7="All months",$F$7=R20),IF($B$7="All stores",SUMIFS('Data Model'!$D$2:$D$19,'Data Model'!$C$2:$C$19,R20),SUMIFS('Data Model'!$D$2:$D$19,'Data Model'!$B$2:$B$19,$B$7,'Data Model'!$C$2:$C$19,R20)),0)</f>
        <v>156727.76</v>
      </c>
      <c r="T20">
        <f>IF(OR($F$7="All months",$F$7=R20),IF($B$7="All stores",SUMIFS('Data Model'!$E$2:$E$19,'Data Model'!$C$2:$C$19,R20),SUMIFS('Data Model'!$E$2:$E$19,'Data Model'!$B$2:$B$19,$B$7,'Data Model'!$C$2:$C$19,R20)),0)</f>
        <v>48233</v>
      </c>
      <c r="U20">
        <f>IF(OR($F$7="All months",$F$7=R20),IF($B$7="All stores",SUMIFS('Data Model'!$F$2:$F$19,'Data Model'!$C$2:$C$19,R20),SUMIFS('Data Model'!$F$2:$F$19,'Data Model'!$B$2:$B$19,$B$7,'Data Model'!$C$2:$C$19,R20)),0)</f>
        <v>33527</v>
      </c>
      <c r="V20" t="s">
        <v>25</v>
      </c>
      <c r="W20">
        <f>IF($F$7="All months",SUMIFS('Data Model'!$D$20:$D$73,'Data Model'!$B$20:$B$73,V20),SUMIFS('Data Model'!$D$20:$D$73,'Data Model'!$B$20:$B$73,V20,'Data Model'!$C$20:$C$73,$F$7))</f>
        <v>72416</v>
      </c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R21" t="s">
        <v>26</v>
      </c>
      <c r="S21">
        <f>IF(OR($F$7="All months",$F$7=R21),IF($B$7="All stores",SUMIFS('Data Model'!$D$2:$D$19,'Data Model'!$C$2:$C$19,R21),SUMIFS('Data Model'!$D$2:$D$19,'Data Model'!$B$2:$B$19,$B$7,'Data Model'!$C$2:$C$19,R21)),0)</f>
        <v>166485.88</v>
      </c>
      <c r="T21">
        <f>IF(OR($F$7="All months",$F$7=R21),IF($B$7="All stores",SUMIFS('Data Model'!$E$2:$E$19,'Data Model'!$C$2:$C$19,R21),SUMIFS('Data Model'!$E$2:$E$19,'Data Model'!$B$2:$B$19,$B$7,'Data Model'!$C$2:$C$19,R21)),0)</f>
        <v>50942</v>
      </c>
      <c r="U21">
        <f>IF(OR($F$7="All months",$F$7=R21),IF($B$7="All stores",SUMIFS('Data Model'!$F$2:$F$19,'Data Model'!$C$2:$C$19,R21),SUMIFS('Data Model'!$F$2:$F$19,'Data Model'!$B$2:$B$19,$B$7,'Data Model'!$C$2:$C$19,R21)),0)</f>
        <v>35352</v>
      </c>
      <c r="V21" t="s">
        <v>27</v>
      </c>
      <c r="W21">
        <f>IF($F$7="All months",SUMIFS('Data Model'!$D$20:$D$73,'Data Model'!$B$20:$B$73,V21),SUMIFS('Data Model'!$D$20:$D$73,'Data Model'!$B$20:$B$73,V21,'Data Model'!$C$20:$C$73,$F$7))</f>
        <v>8408.8000000000011</v>
      </c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V22" t="s">
        <v>28</v>
      </c>
      <c r="W22">
        <f>IF($F$7="All months",SUMIFS('Data Model'!$D$20:$D$73,'Data Model'!$B$20:$B$73,V22),SUMIFS('Data Model'!$D$20:$D$73,'Data Model'!$B$20:$B$73,V22,'Data Model'!$C$20:$C$73,$F$7))</f>
        <v>11213.6</v>
      </c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V23" t="s">
        <v>29</v>
      </c>
      <c r="W23">
        <f>IF($F$7="All months",SUMIFS('Data Model'!$D$20:$D$73,'Data Model'!$B$20:$B$73,V23),SUMIFS('Data Model'!$D$20:$D$73,'Data Model'!$B$20:$B$73,V23,'Data Model'!$C$20:$C$73,$F$7))</f>
        <v>4407.6400000000003</v>
      </c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V24" t="s">
        <v>30</v>
      </c>
      <c r="W24">
        <f>IF($F$7="All months",SUMIFS('Data Model'!$D$20:$D$73,'Data Model'!$B$20:$B$73,V24),SUMIFS('Data Model'!$D$20:$D$73,'Data Model'!$B$20:$B$73,V24,'Data Model'!$C$20:$C$73,$F$7))</f>
        <v>196405.95</v>
      </c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</sheetData>
  <mergeCells count="12">
    <mergeCell ref="M10:O12"/>
    <mergeCell ref="B10:D12"/>
    <mergeCell ref="F9:H9"/>
    <mergeCell ref="F10:H12"/>
    <mergeCell ref="J9:L9"/>
    <mergeCell ref="J10:L12"/>
    <mergeCell ref="B2:O3"/>
    <mergeCell ref="B4:O4"/>
    <mergeCell ref="B7:D7"/>
    <mergeCell ref="F7:H7"/>
    <mergeCell ref="B9:D9"/>
    <mergeCell ref="M9:O9"/>
  </mergeCells>
  <dataValidations count="2">
    <dataValidation type="list" sqref="B7" xr:uid="{00000000-0002-0000-0000-000000000000}">
      <formula1>"All stores,Astoria,Hell's Kitchen,Lower Manhattan"</formula1>
    </dataValidation>
    <dataValidation type="list" sqref="F7" xr:uid="{00000000-0002-0000-0000-000001000000}">
      <formula1>"All months,Jan,Feb,Mar,Apr,May,Jun"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2"/>
  <sheetViews>
    <sheetView workbookViewId="0">
      <pane ySplit="4" topLeftCell="A5" activePane="bottomLeft" state="frozen"/>
      <selection pane="bottomLeft"/>
    </sheetView>
  </sheetViews>
  <sheetFormatPr defaultRowHeight="14"/>
  <cols>
    <col min="1" max="1" width="4" customWidth="1"/>
    <col min="2" max="15" width="12" customWidth="1"/>
    <col min="16" max="16" width="4" customWidth="1"/>
    <col min="18" max="23" width="17" customWidth="1"/>
  </cols>
  <sheetData>
    <row r="1" spans="1:2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23" ht="24" customHeight="1">
      <c r="A2" s="2"/>
      <c r="B2" s="4" t="s">
        <v>31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"/>
    </row>
    <row r="3" spans="1:23" ht="24" customHeigh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2"/>
    </row>
    <row r="4" spans="1:23">
      <c r="A4" s="2"/>
      <c r="B4" s="5" t="s">
        <v>32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2"/>
    </row>
    <row r="5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23">
      <c r="A6" s="2"/>
      <c r="B6" s="3" t="s">
        <v>2</v>
      </c>
      <c r="C6" s="3"/>
      <c r="D6" s="3"/>
      <c r="E6" s="3"/>
      <c r="F6" s="3" t="s">
        <v>3</v>
      </c>
      <c r="G6" s="3"/>
      <c r="H6" s="3"/>
      <c r="I6" s="2"/>
      <c r="J6" s="2"/>
      <c r="K6" s="2"/>
      <c r="L6" s="2"/>
      <c r="M6" s="2"/>
      <c r="N6" s="2"/>
      <c r="O6" s="2"/>
      <c r="P6" s="2"/>
    </row>
    <row r="7" spans="1:23">
      <c r="A7" s="2"/>
      <c r="B7" s="6" t="s">
        <v>4</v>
      </c>
      <c r="C7" s="6"/>
      <c r="D7" s="6"/>
      <c r="E7" s="2"/>
      <c r="F7" s="6" t="s">
        <v>5</v>
      </c>
      <c r="G7" s="6"/>
      <c r="H7" s="6"/>
      <c r="I7" s="2"/>
      <c r="J7" s="2"/>
      <c r="K7" s="2"/>
      <c r="L7" s="2"/>
      <c r="M7" s="2"/>
      <c r="N7" s="2"/>
      <c r="O7" s="2"/>
      <c r="P7" s="2"/>
    </row>
    <row r="8" spans="1:2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23" ht="25" customHeight="1">
      <c r="A9" s="2"/>
      <c r="B9" s="7" t="s">
        <v>6</v>
      </c>
      <c r="C9" s="7"/>
      <c r="D9" s="7"/>
      <c r="E9" s="2"/>
      <c r="F9" s="7" t="s">
        <v>7</v>
      </c>
      <c r="G9" s="7"/>
      <c r="H9" s="7"/>
      <c r="I9" s="2"/>
      <c r="J9" s="7" t="s">
        <v>8</v>
      </c>
      <c r="K9" s="7"/>
      <c r="L9" s="7"/>
      <c r="M9" s="7" t="s">
        <v>9</v>
      </c>
      <c r="N9" s="7"/>
      <c r="O9" s="7"/>
      <c r="P9" s="2"/>
    </row>
    <row r="10" spans="1:23" ht="23" customHeight="1">
      <c r="A10" s="2"/>
      <c r="B10" s="8">
        <f>IF($B$7="All stores",IF($F$7="All months",SUM('Data Model'!$D$2:$D$19),SUMIFS('Data Model'!$D$2:$D$19,'Data Model'!$C$2:$C$19,$F$7)),IF($F$7="All months",SUMIFS('Data Model'!$D$2:$D$19,'Data Model'!$B$2:$B$19,$B$7),SUMIFS('Data Model'!$D$2:$D$19,'Data Model'!$B$2:$B$19,$B$7,'Data Model'!$C$2:$C$19,$F$7)))</f>
        <v>698812.33000000007</v>
      </c>
      <c r="C10" s="9"/>
      <c r="D10" s="9"/>
      <c r="E10" s="2"/>
      <c r="F10" s="10">
        <f>IF($B$7="All stores",IF($F$7="All months",SUM('Data Model'!$E$2:$E$19),SUMIFS('Data Model'!$E$2:$E$19,'Data Model'!$C$2:$C$19,$F$7)),IF($F$7="All months",SUMIFS('Data Model'!$E$2:$E$19,'Data Model'!$B$2:$B$19,$B$7),SUMIFS('Data Model'!$E$2:$E$19,'Data Model'!$B$2:$B$19,$B$7,'Data Model'!$C$2:$C$19,$F$7)))</f>
        <v>214470</v>
      </c>
      <c r="G10" s="9"/>
      <c r="H10" s="9"/>
      <c r="I10" s="2"/>
      <c r="J10" s="10">
        <f>IF($B$7="All stores",IF($F$7="All months",SUM('Data Model'!$F$2:$F$19),SUMIFS('Data Model'!$F$2:$F$19,'Data Model'!$C$2:$C$19,$F$7)),IF($F$7="All months",SUMIFS('Data Model'!$F$2:$F$19,'Data Model'!$B$2:$B$19,$B$7),SUMIFS('Data Model'!$F$2:$F$19,'Data Model'!$B$2:$B$19,$B$7,'Data Model'!$C$2:$C$19,$F$7)))</f>
        <v>149116</v>
      </c>
      <c r="K10" s="9"/>
      <c r="L10" s="9"/>
      <c r="M10" s="11">
        <f>IFERROR(B10/F10,0)</f>
        <v>3.2583220497039216</v>
      </c>
      <c r="N10" s="9"/>
      <c r="O10" s="9"/>
      <c r="P10" s="2"/>
    </row>
    <row r="11" spans="1:23" ht="23" customHeight="1">
      <c r="A11" s="2"/>
      <c r="B11" s="9"/>
      <c r="C11" s="9"/>
      <c r="D11" s="9"/>
      <c r="E11" s="2"/>
      <c r="F11" s="9"/>
      <c r="G11" s="9"/>
      <c r="H11" s="9"/>
      <c r="I11" s="2"/>
      <c r="J11" s="9"/>
      <c r="K11" s="9"/>
      <c r="L11" s="9"/>
      <c r="M11" s="9"/>
      <c r="N11" s="9"/>
      <c r="O11" s="9"/>
      <c r="P11" s="2"/>
    </row>
    <row r="12" spans="1:23" ht="23" customHeight="1">
      <c r="A12" s="2"/>
      <c r="B12" s="9"/>
      <c r="C12" s="9"/>
      <c r="D12" s="9"/>
      <c r="E12" s="2"/>
      <c r="F12" s="9"/>
      <c r="G12" s="9"/>
      <c r="H12" s="9"/>
      <c r="I12" s="2"/>
      <c r="J12" s="9"/>
      <c r="K12" s="9"/>
      <c r="L12" s="9"/>
      <c r="M12" s="9"/>
      <c r="N12" s="9"/>
      <c r="O12" s="9"/>
      <c r="P12" s="2"/>
    </row>
    <row r="13" spans="1:2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2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2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R15" t="s">
        <v>10</v>
      </c>
      <c r="S15" t="s">
        <v>11</v>
      </c>
      <c r="T15" t="s">
        <v>12</v>
      </c>
      <c r="U15" t="s">
        <v>13</v>
      </c>
      <c r="V15" t="s">
        <v>14</v>
      </c>
      <c r="W15" t="s">
        <v>15</v>
      </c>
    </row>
    <row r="16" spans="1:2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R16" t="s">
        <v>16</v>
      </c>
      <c r="S16">
        <f>IF(OR($F$7="All months",$F$7=R16),IF($B$7="All stores",SUMIFS('Data Model'!$D$2:$D$19,'Data Model'!$C$2:$C$19,R16),SUMIFS('Data Model'!$D$2:$D$19,'Data Model'!$B$2:$B$19,$B$7,'Data Model'!$C$2:$C$19,R16)),0)</f>
        <v>81677.739999999991</v>
      </c>
      <c r="T16">
        <f>IF(OR($F$7="All months",$F$7=R16),IF($B$7="All stores",SUMIFS('Data Model'!$E$2:$E$19,'Data Model'!$C$2:$C$19,R16),SUMIFS('Data Model'!$E$2:$E$19,'Data Model'!$B$2:$B$19,$B$7,'Data Model'!$C$2:$C$19,R16)),0)</f>
        <v>24870</v>
      </c>
      <c r="U16">
        <f>IF(OR($F$7="All months",$F$7=R16),IF($B$7="All stores",SUMIFS('Data Model'!$F$2:$F$19,'Data Model'!$C$2:$C$19,R16),SUMIFS('Data Model'!$F$2:$F$19,'Data Model'!$B$2:$B$19,$B$7,'Data Model'!$C$2:$C$19,R16)),0)</f>
        <v>17314</v>
      </c>
      <c r="V16" t="s">
        <v>17</v>
      </c>
      <c r="W16">
        <f>IF($F$7="All months",SUMIFS('Data Model'!$D$20:$D$73,'Data Model'!$B$20:$B$73,V16),SUMIFS('Data Model'!$D$20:$D$73,'Data Model'!$B$20:$B$73,V16,'Data Model'!$C$20:$C$73,$F$7))</f>
        <v>82315.64</v>
      </c>
    </row>
    <row r="17" spans="1:2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R17" t="s">
        <v>18</v>
      </c>
      <c r="S17">
        <f>IF(OR($F$7="All months",$F$7=R17),IF($B$7="All stores",SUMIFS('Data Model'!$D$2:$D$19,'Data Model'!$C$2:$C$19,R17),SUMIFS('Data Model'!$D$2:$D$19,'Data Model'!$B$2:$B$19,$B$7,'Data Model'!$C$2:$C$19,R17)),0)</f>
        <v>76145.19</v>
      </c>
      <c r="T17">
        <f>IF(OR($F$7="All months",$F$7=R17),IF($B$7="All stores",SUMIFS('Data Model'!$E$2:$E$19,'Data Model'!$C$2:$C$19,R17),SUMIFS('Data Model'!$E$2:$E$19,'Data Model'!$B$2:$B$19,$B$7,'Data Model'!$C$2:$C$19,R17)),0)</f>
        <v>23550</v>
      </c>
      <c r="U17">
        <f>IF(OR($F$7="All months",$F$7=R17),IF($B$7="All stores",SUMIFS('Data Model'!$F$2:$F$19,'Data Model'!$C$2:$C$19,R17),SUMIFS('Data Model'!$F$2:$F$19,'Data Model'!$B$2:$B$19,$B$7,'Data Model'!$C$2:$C$19,R17)),0)</f>
        <v>16359</v>
      </c>
      <c r="V17" t="s">
        <v>19</v>
      </c>
      <c r="W17">
        <f>IF($F$7="All months",SUMIFS('Data Model'!$D$20:$D$73,'Data Model'!$B$20:$B$73,V17),SUMIFS('Data Model'!$D$20:$D$73,'Data Model'!$B$20:$B$73,V17,'Data Model'!$C$20:$C$73,$F$7))</f>
        <v>13607</v>
      </c>
    </row>
    <row r="18" spans="1:2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R18" t="s">
        <v>20</v>
      </c>
      <c r="S18">
        <f>IF(OR($F$7="All months",$F$7=R18),IF($B$7="All stores",SUMIFS('Data Model'!$D$2:$D$19,'Data Model'!$C$2:$C$19,R18),SUMIFS('Data Model'!$D$2:$D$19,'Data Model'!$B$2:$B$19,$B$7,'Data Model'!$C$2:$C$19,R18)),0)</f>
        <v>98834.68</v>
      </c>
      <c r="T18">
        <f>IF(OR($F$7="All months",$F$7=R18),IF($B$7="All stores",SUMIFS('Data Model'!$E$2:$E$19,'Data Model'!$C$2:$C$19,R18),SUMIFS('Data Model'!$E$2:$E$19,'Data Model'!$B$2:$B$19,$B$7,'Data Model'!$C$2:$C$19,R18)),0)</f>
        <v>30406</v>
      </c>
      <c r="U18">
        <f>IF(OR($F$7="All months",$F$7=R18),IF($B$7="All stores",SUMIFS('Data Model'!$F$2:$F$19,'Data Model'!$C$2:$C$19,R18),SUMIFS('Data Model'!$F$2:$F$19,'Data Model'!$B$2:$B$19,$B$7,'Data Model'!$C$2:$C$19,R18)),0)</f>
        <v>21229</v>
      </c>
      <c r="V18" t="s">
        <v>21</v>
      </c>
      <c r="W18">
        <f>IF($F$7="All months",SUMIFS('Data Model'!$D$20:$D$73,'Data Model'!$B$20:$B$73,V18),SUMIFS('Data Model'!$D$20:$D$73,'Data Model'!$B$20:$B$73,V18,'Data Model'!$C$20:$C$73,$F$7))</f>
        <v>269952.45</v>
      </c>
    </row>
    <row r="19" spans="1:2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R19" t="s">
        <v>22</v>
      </c>
      <c r="S19">
        <f>IF(OR($F$7="All months",$F$7=R19),IF($B$7="All stores",SUMIFS('Data Model'!$D$2:$D$19,'Data Model'!$C$2:$C$19,R19),SUMIFS('Data Model'!$D$2:$D$19,'Data Model'!$B$2:$B$19,$B$7,'Data Model'!$C$2:$C$19,R19)),0)</f>
        <v>118941.08</v>
      </c>
      <c r="T19">
        <f>IF(OR($F$7="All months",$F$7=R19),IF($B$7="All stores",SUMIFS('Data Model'!$E$2:$E$19,'Data Model'!$C$2:$C$19,R19),SUMIFS('Data Model'!$E$2:$E$19,'Data Model'!$B$2:$B$19,$B$7,'Data Model'!$C$2:$C$19,R19)),0)</f>
        <v>36469</v>
      </c>
      <c r="U19">
        <f>IF(OR($F$7="All months",$F$7=R19),IF($B$7="All stores",SUMIFS('Data Model'!$F$2:$F$19,'Data Model'!$C$2:$C$19,R19),SUMIFS('Data Model'!$F$2:$F$19,'Data Model'!$B$2:$B$19,$B$7,'Data Model'!$C$2:$C$19,R19)),0)</f>
        <v>25335</v>
      </c>
      <c r="V19" t="s">
        <v>23</v>
      </c>
      <c r="W19">
        <f>IF($F$7="All months",SUMIFS('Data Model'!$D$20:$D$73,'Data Model'!$B$20:$B$73,V19),SUMIFS('Data Model'!$D$20:$D$73,'Data Model'!$B$20:$B$73,V19,'Data Model'!$C$20:$C$73,$F$7))</f>
        <v>40085.25</v>
      </c>
    </row>
    <row r="20" spans="1:2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R20" t="s">
        <v>24</v>
      </c>
      <c r="S20">
        <f>IF(OR($F$7="All months",$F$7=R20),IF($B$7="All stores",SUMIFS('Data Model'!$D$2:$D$19,'Data Model'!$C$2:$C$19,R20),SUMIFS('Data Model'!$D$2:$D$19,'Data Model'!$B$2:$B$19,$B$7,'Data Model'!$C$2:$C$19,R20)),0)</f>
        <v>156727.76</v>
      </c>
      <c r="T20">
        <f>IF(OR($F$7="All months",$F$7=R20),IF($B$7="All stores",SUMIFS('Data Model'!$E$2:$E$19,'Data Model'!$C$2:$C$19,R20),SUMIFS('Data Model'!$E$2:$E$19,'Data Model'!$B$2:$B$19,$B$7,'Data Model'!$C$2:$C$19,R20)),0)</f>
        <v>48233</v>
      </c>
      <c r="U20">
        <f>IF(OR($F$7="All months",$F$7=R20),IF($B$7="All stores",SUMIFS('Data Model'!$F$2:$F$19,'Data Model'!$C$2:$C$19,R20),SUMIFS('Data Model'!$F$2:$F$19,'Data Model'!$B$2:$B$19,$B$7,'Data Model'!$C$2:$C$19,R20)),0)</f>
        <v>33527</v>
      </c>
      <c r="V20" t="s">
        <v>25</v>
      </c>
      <c r="W20">
        <f>IF($F$7="All months",SUMIFS('Data Model'!$D$20:$D$73,'Data Model'!$B$20:$B$73,V20),SUMIFS('Data Model'!$D$20:$D$73,'Data Model'!$B$20:$B$73,V20,'Data Model'!$C$20:$C$73,$F$7))</f>
        <v>72416</v>
      </c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R21" t="s">
        <v>26</v>
      </c>
      <c r="S21">
        <f>IF(OR($F$7="All months",$F$7=R21),IF($B$7="All stores",SUMIFS('Data Model'!$D$2:$D$19,'Data Model'!$C$2:$C$19,R21),SUMIFS('Data Model'!$D$2:$D$19,'Data Model'!$B$2:$B$19,$B$7,'Data Model'!$C$2:$C$19,R21)),0)</f>
        <v>166485.88</v>
      </c>
      <c r="T21">
        <f>IF(OR($F$7="All months",$F$7=R21),IF($B$7="All stores",SUMIFS('Data Model'!$E$2:$E$19,'Data Model'!$C$2:$C$19,R21),SUMIFS('Data Model'!$E$2:$E$19,'Data Model'!$B$2:$B$19,$B$7,'Data Model'!$C$2:$C$19,R21)),0)</f>
        <v>50942</v>
      </c>
      <c r="U21">
        <f>IF(OR($F$7="All months",$F$7=R21),IF($B$7="All stores",SUMIFS('Data Model'!$F$2:$F$19,'Data Model'!$C$2:$C$19,R21),SUMIFS('Data Model'!$F$2:$F$19,'Data Model'!$B$2:$B$19,$B$7,'Data Model'!$C$2:$C$19,R21)),0)</f>
        <v>35352</v>
      </c>
      <c r="V21" t="s">
        <v>27</v>
      </c>
      <c r="W21">
        <f>IF($F$7="All months",SUMIFS('Data Model'!$D$20:$D$73,'Data Model'!$B$20:$B$73,V21),SUMIFS('Data Model'!$D$20:$D$73,'Data Model'!$B$20:$B$73,V21,'Data Model'!$C$20:$C$73,$F$7))</f>
        <v>8408.8000000000011</v>
      </c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V22" t="s">
        <v>28</v>
      </c>
      <c r="W22">
        <f>IF($F$7="All months",SUMIFS('Data Model'!$D$20:$D$73,'Data Model'!$B$20:$B$73,V22),SUMIFS('Data Model'!$D$20:$D$73,'Data Model'!$B$20:$B$73,V22,'Data Model'!$C$20:$C$73,$F$7))</f>
        <v>11213.6</v>
      </c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V23" t="s">
        <v>29</v>
      </c>
      <c r="W23">
        <f>IF($F$7="All months",SUMIFS('Data Model'!$D$20:$D$73,'Data Model'!$B$20:$B$73,V23),SUMIFS('Data Model'!$D$20:$D$73,'Data Model'!$B$20:$B$73,V23,'Data Model'!$C$20:$C$73,$F$7))</f>
        <v>4407.6400000000003</v>
      </c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V24" t="s">
        <v>30</v>
      </c>
      <c r="W24">
        <f>IF($F$7="All months",SUMIFS('Data Model'!$D$20:$D$73,'Data Model'!$B$20:$B$73,V24),SUMIFS('Data Model'!$D$20:$D$73,'Data Model'!$B$20:$B$73,V24,'Data Model'!$C$20:$C$73,$F$7))</f>
        <v>196405.95</v>
      </c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</sheetData>
  <mergeCells count="12">
    <mergeCell ref="M10:O12"/>
    <mergeCell ref="B10:D12"/>
    <mergeCell ref="F9:H9"/>
    <mergeCell ref="F10:H12"/>
    <mergeCell ref="J9:L9"/>
    <mergeCell ref="J10:L12"/>
    <mergeCell ref="B2:O3"/>
    <mergeCell ref="B4:O4"/>
    <mergeCell ref="B7:D7"/>
    <mergeCell ref="F7:H7"/>
    <mergeCell ref="B9:D9"/>
    <mergeCell ref="M9:O9"/>
  </mergeCells>
  <dataValidations count="2">
    <dataValidation type="list" sqref="B7" xr:uid="{00000000-0002-0000-0100-000000000000}">
      <formula1>"All stores,Astoria,Hell's Kitchen,Lower Manhattan"</formula1>
    </dataValidation>
    <dataValidation type="list" sqref="F7" xr:uid="{00000000-0002-0000-0100-000001000000}">
      <formula1>"All months,Jan,Feb,Mar,Apr,May,Jun"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2"/>
  <sheetViews>
    <sheetView workbookViewId="0">
      <pane ySplit="4" topLeftCell="A5" activePane="bottomLeft" state="frozen"/>
      <selection pane="bottomLeft"/>
    </sheetView>
  </sheetViews>
  <sheetFormatPr defaultRowHeight="14"/>
  <cols>
    <col min="1" max="1" width="4" customWidth="1"/>
    <col min="2" max="15" width="12" customWidth="1"/>
    <col min="16" max="16" width="4" customWidth="1"/>
    <col min="18" max="23" width="17" customWidth="1"/>
  </cols>
  <sheetData>
    <row r="1" spans="1:2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23" ht="24" customHeight="1">
      <c r="A2" s="2"/>
      <c r="B2" s="4" t="s">
        <v>33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"/>
    </row>
    <row r="3" spans="1:23" ht="24" customHeigh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2"/>
    </row>
    <row r="4" spans="1:23">
      <c r="A4" s="2"/>
      <c r="B4" s="5" t="s">
        <v>34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2"/>
    </row>
    <row r="5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23">
      <c r="A6" s="2"/>
      <c r="B6" s="3" t="s">
        <v>2</v>
      </c>
      <c r="C6" s="3"/>
      <c r="D6" s="3"/>
      <c r="E6" s="3"/>
      <c r="F6" s="3" t="s">
        <v>3</v>
      </c>
      <c r="G6" s="3"/>
      <c r="H6" s="3"/>
      <c r="I6" s="2"/>
      <c r="J6" s="2"/>
      <c r="K6" s="2"/>
      <c r="L6" s="2"/>
      <c r="M6" s="2"/>
      <c r="N6" s="2"/>
      <c r="O6" s="2"/>
      <c r="P6" s="2"/>
    </row>
    <row r="7" spans="1:23">
      <c r="A7" s="2"/>
      <c r="B7" s="6" t="s">
        <v>4</v>
      </c>
      <c r="C7" s="6"/>
      <c r="D7" s="6"/>
      <c r="E7" s="2"/>
      <c r="F7" s="6" t="s">
        <v>5</v>
      </c>
      <c r="G7" s="6"/>
      <c r="H7" s="6"/>
      <c r="I7" s="2"/>
      <c r="J7" s="2"/>
      <c r="K7" s="2"/>
      <c r="L7" s="2"/>
      <c r="M7" s="2"/>
      <c r="N7" s="2"/>
      <c r="O7" s="2"/>
      <c r="P7" s="2"/>
    </row>
    <row r="8" spans="1:2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23" ht="25" customHeight="1">
      <c r="A9" s="2"/>
      <c r="B9" s="7" t="s">
        <v>6</v>
      </c>
      <c r="C9" s="7"/>
      <c r="D9" s="7"/>
      <c r="E9" s="2"/>
      <c r="F9" s="7" t="s">
        <v>7</v>
      </c>
      <c r="G9" s="7"/>
      <c r="H9" s="7"/>
      <c r="I9" s="2"/>
      <c r="J9" s="7" t="s">
        <v>8</v>
      </c>
      <c r="K9" s="7"/>
      <c r="L9" s="7"/>
      <c r="M9" s="7" t="s">
        <v>9</v>
      </c>
      <c r="N9" s="7"/>
      <c r="O9" s="7"/>
      <c r="P9" s="2"/>
    </row>
    <row r="10" spans="1:23" ht="23" customHeight="1">
      <c r="A10" s="2"/>
      <c r="B10" s="8">
        <f>IF($B$7="All stores",IF($F$7="All months",SUM('Data Model'!$D$2:$D$19),SUMIFS('Data Model'!$D$2:$D$19,'Data Model'!$C$2:$C$19,$F$7)),IF($F$7="All months",SUMIFS('Data Model'!$D$2:$D$19,'Data Model'!$B$2:$B$19,$B$7),SUMIFS('Data Model'!$D$2:$D$19,'Data Model'!$B$2:$B$19,$B$7,'Data Model'!$C$2:$C$19,$F$7)))</f>
        <v>698812.33000000007</v>
      </c>
      <c r="C10" s="9"/>
      <c r="D10" s="9"/>
      <c r="E10" s="2"/>
      <c r="F10" s="10">
        <f>IF($B$7="All stores",IF($F$7="All months",SUM('Data Model'!$E$2:$E$19),SUMIFS('Data Model'!$E$2:$E$19,'Data Model'!$C$2:$C$19,$F$7)),IF($F$7="All months",SUMIFS('Data Model'!$E$2:$E$19,'Data Model'!$B$2:$B$19,$B$7),SUMIFS('Data Model'!$E$2:$E$19,'Data Model'!$B$2:$B$19,$B$7,'Data Model'!$C$2:$C$19,$F$7)))</f>
        <v>214470</v>
      </c>
      <c r="G10" s="9"/>
      <c r="H10" s="9"/>
      <c r="I10" s="2"/>
      <c r="J10" s="10">
        <f>IF($B$7="All stores",IF($F$7="All months",SUM('Data Model'!$F$2:$F$19),SUMIFS('Data Model'!$F$2:$F$19,'Data Model'!$C$2:$C$19,$F$7)),IF($F$7="All months",SUMIFS('Data Model'!$F$2:$F$19,'Data Model'!$B$2:$B$19,$B$7),SUMIFS('Data Model'!$F$2:$F$19,'Data Model'!$B$2:$B$19,$B$7,'Data Model'!$C$2:$C$19,$F$7)))</f>
        <v>149116</v>
      </c>
      <c r="K10" s="9"/>
      <c r="L10" s="9"/>
      <c r="M10" s="11">
        <f>IFERROR(B10/F10,0)</f>
        <v>3.2583220497039216</v>
      </c>
      <c r="N10" s="9"/>
      <c r="O10" s="9"/>
      <c r="P10" s="2"/>
    </row>
    <row r="11" spans="1:23" ht="23" customHeight="1">
      <c r="A11" s="2"/>
      <c r="B11" s="9"/>
      <c r="C11" s="9"/>
      <c r="D11" s="9"/>
      <c r="E11" s="2"/>
      <c r="F11" s="9"/>
      <c r="G11" s="9"/>
      <c r="H11" s="9"/>
      <c r="I11" s="2"/>
      <c r="J11" s="9"/>
      <c r="K11" s="9"/>
      <c r="L11" s="9"/>
      <c r="M11" s="9"/>
      <c r="N11" s="9"/>
      <c r="O11" s="9"/>
      <c r="P11" s="2"/>
    </row>
    <row r="12" spans="1:23" ht="23" customHeight="1">
      <c r="A12" s="2"/>
      <c r="B12" s="9"/>
      <c r="C12" s="9"/>
      <c r="D12" s="9"/>
      <c r="E12" s="2"/>
      <c r="F12" s="9"/>
      <c r="G12" s="9"/>
      <c r="H12" s="9"/>
      <c r="I12" s="2"/>
      <c r="J12" s="9"/>
      <c r="K12" s="9"/>
      <c r="L12" s="9"/>
      <c r="M12" s="9"/>
      <c r="N12" s="9"/>
      <c r="O12" s="9"/>
      <c r="P12" s="2"/>
    </row>
    <row r="13" spans="1:2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2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2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R15" t="s">
        <v>10</v>
      </c>
      <c r="S15" t="s">
        <v>11</v>
      </c>
      <c r="T15" t="s">
        <v>12</v>
      </c>
      <c r="U15" t="s">
        <v>13</v>
      </c>
      <c r="V15" t="s">
        <v>14</v>
      </c>
      <c r="W15" t="s">
        <v>15</v>
      </c>
    </row>
    <row r="16" spans="1:2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R16" t="s">
        <v>16</v>
      </c>
      <c r="S16">
        <f>IF(OR($F$7="All months",$F$7=R16),IF($B$7="All stores",SUMIFS('Data Model'!$D$2:$D$19,'Data Model'!$C$2:$C$19,R16),SUMIFS('Data Model'!$D$2:$D$19,'Data Model'!$B$2:$B$19,$B$7,'Data Model'!$C$2:$C$19,R16)),0)</f>
        <v>81677.739999999991</v>
      </c>
      <c r="T16">
        <f>IF(OR($F$7="All months",$F$7=R16),IF($B$7="All stores",SUMIFS('Data Model'!$E$2:$E$19,'Data Model'!$C$2:$C$19,R16),SUMIFS('Data Model'!$E$2:$E$19,'Data Model'!$B$2:$B$19,$B$7,'Data Model'!$C$2:$C$19,R16)),0)</f>
        <v>24870</v>
      </c>
      <c r="U16">
        <f>IF(OR($F$7="All months",$F$7=R16),IF($B$7="All stores",SUMIFS('Data Model'!$F$2:$F$19,'Data Model'!$C$2:$C$19,R16),SUMIFS('Data Model'!$F$2:$F$19,'Data Model'!$B$2:$B$19,$B$7,'Data Model'!$C$2:$C$19,R16)),0)</f>
        <v>17314</v>
      </c>
      <c r="V16" t="s">
        <v>17</v>
      </c>
      <c r="W16">
        <f>IF($F$7="All months",SUMIFS('Data Model'!$D$20:$D$73,'Data Model'!$B$20:$B$73,V16),SUMIFS('Data Model'!$D$20:$D$73,'Data Model'!$B$20:$B$73,V16,'Data Model'!$C$20:$C$73,$F$7))</f>
        <v>82315.64</v>
      </c>
    </row>
    <row r="17" spans="1:2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R17" t="s">
        <v>18</v>
      </c>
      <c r="S17">
        <f>IF(OR($F$7="All months",$F$7=R17),IF($B$7="All stores",SUMIFS('Data Model'!$D$2:$D$19,'Data Model'!$C$2:$C$19,R17),SUMIFS('Data Model'!$D$2:$D$19,'Data Model'!$B$2:$B$19,$B$7,'Data Model'!$C$2:$C$19,R17)),0)</f>
        <v>76145.19</v>
      </c>
      <c r="T17">
        <f>IF(OR($F$7="All months",$F$7=R17),IF($B$7="All stores",SUMIFS('Data Model'!$E$2:$E$19,'Data Model'!$C$2:$C$19,R17),SUMIFS('Data Model'!$E$2:$E$19,'Data Model'!$B$2:$B$19,$B$7,'Data Model'!$C$2:$C$19,R17)),0)</f>
        <v>23550</v>
      </c>
      <c r="U17">
        <f>IF(OR($F$7="All months",$F$7=R17),IF($B$7="All stores",SUMIFS('Data Model'!$F$2:$F$19,'Data Model'!$C$2:$C$19,R17),SUMIFS('Data Model'!$F$2:$F$19,'Data Model'!$B$2:$B$19,$B$7,'Data Model'!$C$2:$C$19,R17)),0)</f>
        <v>16359</v>
      </c>
      <c r="V17" t="s">
        <v>19</v>
      </c>
      <c r="W17">
        <f>IF($F$7="All months",SUMIFS('Data Model'!$D$20:$D$73,'Data Model'!$B$20:$B$73,V17),SUMIFS('Data Model'!$D$20:$D$73,'Data Model'!$B$20:$B$73,V17,'Data Model'!$C$20:$C$73,$F$7))</f>
        <v>13607</v>
      </c>
    </row>
    <row r="18" spans="1:2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R18" t="s">
        <v>20</v>
      </c>
      <c r="S18">
        <f>IF(OR($F$7="All months",$F$7=R18),IF($B$7="All stores",SUMIFS('Data Model'!$D$2:$D$19,'Data Model'!$C$2:$C$19,R18),SUMIFS('Data Model'!$D$2:$D$19,'Data Model'!$B$2:$B$19,$B$7,'Data Model'!$C$2:$C$19,R18)),0)</f>
        <v>98834.68</v>
      </c>
      <c r="T18">
        <f>IF(OR($F$7="All months",$F$7=R18),IF($B$7="All stores",SUMIFS('Data Model'!$E$2:$E$19,'Data Model'!$C$2:$C$19,R18),SUMIFS('Data Model'!$E$2:$E$19,'Data Model'!$B$2:$B$19,$B$7,'Data Model'!$C$2:$C$19,R18)),0)</f>
        <v>30406</v>
      </c>
      <c r="U18">
        <f>IF(OR($F$7="All months",$F$7=R18),IF($B$7="All stores",SUMIFS('Data Model'!$F$2:$F$19,'Data Model'!$C$2:$C$19,R18),SUMIFS('Data Model'!$F$2:$F$19,'Data Model'!$B$2:$B$19,$B$7,'Data Model'!$C$2:$C$19,R18)),0)</f>
        <v>21229</v>
      </c>
      <c r="V18" t="s">
        <v>21</v>
      </c>
      <c r="W18">
        <f>IF($F$7="All months",SUMIFS('Data Model'!$D$20:$D$73,'Data Model'!$B$20:$B$73,V18),SUMIFS('Data Model'!$D$20:$D$73,'Data Model'!$B$20:$B$73,V18,'Data Model'!$C$20:$C$73,$F$7))</f>
        <v>269952.45</v>
      </c>
    </row>
    <row r="19" spans="1:2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R19" t="s">
        <v>22</v>
      </c>
      <c r="S19">
        <f>IF(OR($F$7="All months",$F$7=R19),IF($B$7="All stores",SUMIFS('Data Model'!$D$2:$D$19,'Data Model'!$C$2:$C$19,R19),SUMIFS('Data Model'!$D$2:$D$19,'Data Model'!$B$2:$B$19,$B$7,'Data Model'!$C$2:$C$19,R19)),0)</f>
        <v>118941.08</v>
      </c>
      <c r="T19">
        <f>IF(OR($F$7="All months",$F$7=R19),IF($B$7="All stores",SUMIFS('Data Model'!$E$2:$E$19,'Data Model'!$C$2:$C$19,R19),SUMIFS('Data Model'!$E$2:$E$19,'Data Model'!$B$2:$B$19,$B$7,'Data Model'!$C$2:$C$19,R19)),0)</f>
        <v>36469</v>
      </c>
      <c r="U19">
        <f>IF(OR($F$7="All months",$F$7=R19),IF($B$7="All stores",SUMIFS('Data Model'!$F$2:$F$19,'Data Model'!$C$2:$C$19,R19),SUMIFS('Data Model'!$F$2:$F$19,'Data Model'!$B$2:$B$19,$B$7,'Data Model'!$C$2:$C$19,R19)),0)</f>
        <v>25335</v>
      </c>
      <c r="V19" t="s">
        <v>23</v>
      </c>
      <c r="W19">
        <f>IF($F$7="All months",SUMIFS('Data Model'!$D$20:$D$73,'Data Model'!$B$20:$B$73,V19),SUMIFS('Data Model'!$D$20:$D$73,'Data Model'!$B$20:$B$73,V19,'Data Model'!$C$20:$C$73,$F$7))</f>
        <v>40085.25</v>
      </c>
    </row>
    <row r="20" spans="1:2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R20" t="s">
        <v>24</v>
      </c>
      <c r="S20">
        <f>IF(OR($F$7="All months",$F$7=R20),IF($B$7="All stores",SUMIFS('Data Model'!$D$2:$D$19,'Data Model'!$C$2:$C$19,R20),SUMIFS('Data Model'!$D$2:$D$19,'Data Model'!$B$2:$B$19,$B$7,'Data Model'!$C$2:$C$19,R20)),0)</f>
        <v>156727.76</v>
      </c>
      <c r="T20">
        <f>IF(OR($F$7="All months",$F$7=R20),IF($B$7="All stores",SUMIFS('Data Model'!$E$2:$E$19,'Data Model'!$C$2:$C$19,R20),SUMIFS('Data Model'!$E$2:$E$19,'Data Model'!$B$2:$B$19,$B$7,'Data Model'!$C$2:$C$19,R20)),0)</f>
        <v>48233</v>
      </c>
      <c r="U20">
        <f>IF(OR($F$7="All months",$F$7=R20),IF($B$7="All stores",SUMIFS('Data Model'!$F$2:$F$19,'Data Model'!$C$2:$C$19,R20),SUMIFS('Data Model'!$F$2:$F$19,'Data Model'!$B$2:$B$19,$B$7,'Data Model'!$C$2:$C$19,R20)),0)</f>
        <v>33527</v>
      </c>
      <c r="V20" t="s">
        <v>25</v>
      </c>
      <c r="W20">
        <f>IF($F$7="All months",SUMIFS('Data Model'!$D$20:$D$73,'Data Model'!$B$20:$B$73,V20),SUMIFS('Data Model'!$D$20:$D$73,'Data Model'!$B$20:$B$73,V20,'Data Model'!$C$20:$C$73,$F$7))</f>
        <v>72416</v>
      </c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R21" t="s">
        <v>26</v>
      </c>
      <c r="S21">
        <f>IF(OR($F$7="All months",$F$7=R21),IF($B$7="All stores",SUMIFS('Data Model'!$D$2:$D$19,'Data Model'!$C$2:$C$19,R21),SUMIFS('Data Model'!$D$2:$D$19,'Data Model'!$B$2:$B$19,$B$7,'Data Model'!$C$2:$C$19,R21)),0)</f>
        <v>166485.88</v>
      </c>
      <c r="T21">
        <f>IF(OR($F$7="All months",$F$7=R21),IF($B$7="All stores",SUMIFS('Data Model'!$E$2:$E$19,'Data Model'!$C$2:$C$19,R21),SUMIFS('Data Model'!$E$2:$E$19,'Data Model'!$B$2:$B$19,$B$7,'Data Model'!$C$2:$C$19,R21)),0)</f>
        <v>50942</v>
      </c>
      <c r="U21">
        <f>IF(OR($F$7="All months",$F$7=R21),IF($B$7="All stores",SUMIFS('Data Model'!$F$2:$F$19,'Data Model'!$C$2:$C$19,R21),SUMIFS('Data Model'!$F$2:$F$19,'Data Model'!$B$2:$B$19,$B$7,'Data Model'!$C$2:$C$19,R21)),0)</f>
        <v>35352</v>
      </c>
      <c r="V21" t="s">
        <v>27</v>
      </c>
      <c r="W21">
        <f>IF($F$7="All months",SUMIFS('Data Model'!$D$20:$D$73,'Data Model'!$B$20:$B$73,V21),SUMIFS('Data Model'!$D$20:$D$73,'Data Model'!$B$20:$B$73,V21,'Data Model'!$C$20:$C$73,$F$7))</f>
        <v>8408.8000000000011</v>
      </c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V22" t="s">
        <v>28</v>
      </c>
      <c r="W22">
        <f>IF($F$7="All months",SUMIFS('Data Model'!$D$20:$D$73,'Data Model'!$B$20:$B$73,V22),SUMIFS('Data Model'!$D$20:$D$73,'Data Model'!$B$20:$B$73,V22,'Data Model'!$C$20:$C$73,$F$7))</f>
        <v>11213.6</v>
      </c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V23" t="s">
        <v>29</v>
      </c>
      <c r="W23">
        <f>IF($F$7="All months",SUMIFS('Data Model'!$D$20:$D$73,'Data Model'!$B$20:$B$73,V23),SUMIFS('Data Model'!$D$20:$D$73,'Data Model'!$B$20:$B$73,V23,'Data Model'!$C$20:$C$73,$F$7))</f>
        <v>4407.6400000000003</v>
      </c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V24" t="s">
        <v>30</v>
      </c>
      <c r="W24">
        <f>IF($F$7="All months",SUMIFS('Data Model'!$D$20:$D$73,'Data Model'!$B$20:$B$73,V24),SUMIFS('Data Model'!$D$20:$D$73,'Data Model'!$B$20:$B$73,V24,'Data Model'!$C$20:$C$73,$F$7))</f>
        <v>196405.95</v>
      </c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</sheetData>
  <mergeCells count="12">
    <mergeCell ref="M10:O12"/>
    <mergeCell ref="B10:D12"/>
    <mergeCell ref="F9:H9"/>
    <mergeCell ref="F10:H12"/>
    <mergeCell ref="J9:L9"/>
    <mergeCell ref="J10:L12"/>
    <mergeCell ref="B2:O3"/>
    <mergeCell ref="B4:O4"/>
    <mergeCell ref="B7:D7"/>
    <mergeCell ref="F7:H7"/>
    <mergeCell ref="B9:D9"/>
    <mergeCell ref="M9:O9"/>
  </mergeCells>
  <dataValidations count="2">
    <dataValidation type="list" sqref="B7" xr:uid="{00000000-0002-0000-0200-000000000000}">
      <formula1>"All stores,Astoria,Hell's Kitchen,Lower Manhattan"</formula1>
    </dataValidation>
    <dataValidation type="list" sqref="F7" xr:uid="{00000000-0002-0000-0200-000001000000}">
      <formula1>"All months,Jan,Feb,Mar,Apr,May,Jun"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52"/>
  <sheetViews>
    <sheetView workbookViewId="0">
      <pane ySplit="4" topLeftCell="A5" activePane="bottomLeft" state="frozen"/>
      <selection pane="bottomLeft"/>
    </sheetView>
  </sheetViews>
  <sheetFormatPr defaultRowHeight="14"/>
  <cols>
    <col min="1" max="1" width="4" customWidth="1"/>
    <col min="2" max="15" width="12" customWidth="1"/>
    <col min="16" max="16" width="4" customWidth="1"/>
    <col min="18" max="23" width="17" customWidth="1"/>
  </cols>
  <sheetData>
    <row r="1" spans="1:2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28" ht="24" customHeight="1">
      <c r="A2" s="2"/>
      <c r="B2" s="4" t="s">
        <v>35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"/>
    </row>
    <row r="3" spans="1:28" ht="24" customHeigh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2"/>
    </row>
    <row r="4" spans="1:28">
      <c r="A4" s="2"/>
      <c r="B4" s="5" t="s">
        <v>36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2"/>
    </row>
    <row r="5" spans="1:2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28">
      <c r="A6" s="2"/>
      <c r="B6" s="3" t="s">
        <v>2</v>
      </c>
      <c r="C6" s="3"/>
      <c r="D6" s="3"/>
      <c r="E6" s="3"/>
      <c r="F6" s="3" t="s">
        <v>3</v>
      </c>
      <c r="G6" s="3"/>
      <c r="H6" s="3"/>
      <c r="I6" s="2"/>
      <c r="J6" s="2"/>
      <c r="K6" s="2"/>
      <c r="L6" s="2"/>
      <c r="M6" s="2"/>
      <c r="N6" s="2"/>
      <c r="O6" s="2"/>
      <c r="P6" s="2"/>
    </row>
    <row r="7" spans="1:28">
      <c r="A7" s="2"/>
      <c r="B7" s="6" t="s">
        <v>4</v>
      </c>
      <c r="C7" s="6"/>
      <c r="D7" s="6"/>
      <c r="E7" s="2"/>
      <c r="F7" s="6" t="s">
        <v>5</v>
      </c>
      <c r="G7" s="6"/>
      <c r="H7" s="6"/>
      <c r="I7" s="2"/>
      <c r="J7" s="2"/>
      <c r="K7" s="2"/>
      <c r="L7" s="2"/>
      <c r="M7" s="2"/>
      <c r="N7" s="2"/>
      <c r="O7" s="2"/>
      <c r="P7" s="2"/>
    </row>
    <row r="8" spans="1:2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28" ht="25" customHeight="1">
      <c r="A9" s="2"/>
      <c r="B9" s="7" t="s">
        <v>6</v>
      </c>
      <c r="C9" s="7"/>
      <c r="D9" s="7"/>
      <c r="E9" s="2"/>
      <c r="F9" s="7" t="s">
        <v>7</v>
      </c>
      <c r="G9" s="7"/>
      <c r="H9" s="7"/>
      <c r="I9" s="2"/>
      <c r="J9" s="7" t="s">
        <v>8</v>
      </c>
      <c r="K9" s="7"/>
      <c r="L9" s="7"/>
      <c r="M9" s="7" t="s">
        <v>9</v>
      </c>
      <c r="N9" s="7"/>
      <c r="O9" s="7"/>
      <c r="P9" s="2"/>
    </row>
    <row r="10" spans="1:28" ht="23" customHeight="1">
      <c r="A10" s="2"/>
      <c r="B10" s="8">
        <f>IF($B$7="All stores",IF($F$7="All months",SUM('Data Model'!$D$2:$D$19),SUMIFS('Data Model'!$D$2:$D$19,'Data Model'!$C$2:$C$19,$F$7)),IF($F$7="All months",SUMIFS('Data Model'!$D$2:$D$19,'Data Model'!$B$2:$B$19,$B$7),SUMIFS('Data Model'!$D$2:$D$19,'Data Model'!$B$2:$B$19,$B$7,'Data Model'!$C$2:$C$19,$F$7)))</f>
        <v>698812.33000000007</v>
      </c>
      <c r="C10" s="9"/>
      <c r="D10" s="9"/>
      <c r="E10" s="2"/>
      <c r="F10" s="10">
        <f>IF($B$7="All stores",IF($F$7="All months",SUM('Data Model'!$E$2:$E$19),SUMIFS('Data Model'!$E$2:$E$19,'Data Model'!$C$2:$C$19,$F$7)),IF($F$7="All months",SUMIFS('Data Model'!$E$2:$E$19,'Data Model'!$B$2:$B$19,$B$7),SUMIFS('Data Model'!$E$2:$E$19,'Data Model'!$B$2:$B$19,$B$7,'Data Model'!$C$2:$C$19,$F$7)))</f>
        <v>214470</v>
      </c>
      <c r="G10" s="9"/>
      <c r="H10" s="9"/>
      <c r="I10" s="2"/>
      <c r="J10" s="10">
        <f>IF($B$7="All stores",IF($F$7="All months",SUM('Data Model'!$F$2:$F$19),SUMIFS('Data Model'!$F$2:$F$19,'Data Model'!$C$2:$C$19,$F$7)),IF($F$7="All months",SUMIFS('Data Model'!$F$2:$F$19,'Data Model'!$B$2:$B$19,$B$7),SUMIFS('Data Model'!$F$2:$F$19,'Data Model'!$B$2:$B$19,$B$7,'Data Model'!$C$2:$C$19,$F$7)))</f>
        <v>149116</v>
      </c>
      <c r="K10" s="9"/>
      <c r="L10" s="9"/>
      <c r="M10" s="11">
        <f>IFERROR(B10/F10,0)</f>
        <v>3.2583220497039216</v>
      </c>
      <c r="N10" s="9"/>
      <c r="O10" s="9"/>
      <c r="P10" s="2"/>
    </row>
    <row r="11" spans="1:28" ht="23" customHeight="1">
      <c r="A11" s="2"/>
      <c r="B11" s="9"/>
      <c r="C11" s="9"/>
      <c r="D11" s="9"/>
      <c r="E11" s="2"/>
      <c r="F11" s="9"/>
      <c r="G11" s="9"/>
      <c r="H11" s="9"/>
      <c r="I11" s="2"/>
      <c r="J11" s="9"/>
      <c r="K11" s="9"/>
      <c r="L11" s="9"/>
      <c r="M11" s="9"/>
      <c r="N11" s="9"/>
      <c r="O11" s="9"/>
      <c r="P11" s="2"/>
    </row>
    <row r="12" spans="1:28" ht="23" customHeight="1">
      <c r="A12" s="2"/>
      <c r="B12" s="9"/>
      <c r="C12" s="9"/>
      <c r="D12" s="9"/>
      <c r="E12" s="2"/>
      <c r="F12" s="9"/>
      <c r="G12" s="9"/>
      <c r="H12" s="9"/>
      <c r="I12" s="2"/>
      <c r="J12" s="9"/>
      <c r="K12" s="9"/>
      <c r="L12" s="9"/>
      <c r="M12" s="9"/>
      <c r="N12" s="9"/>
      <c r="O12" s="9"/>
      <c r="P12" s="2"/>
    </row>
    <row r="13" spans="1:28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28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28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R15" t="s">
        <v>10</v>
      </c>
      <c r="S15" t="s">
        <v>11</v>
      </c>
      <c r="T15" t="s">
        <v>12</v>
      </c>
      <c r="U15" t="s">
        <v>13</v>
      </c>
      <c r="V15" t="s">
        <v>14</v>
      </c>
      <c r="W15" t="s">
        <v>15</v>
      </c>
      <c r="Y15" t="s">
        <v>37</v>
      </c>
      <c r="Z15" t="s">
        <v>11</v>
      </c>
      <c r="AA15" t="s">
        <v>12</v>
      </c>
      <c r="AB15" t="s">
        <v>13</v>
      </c>
    </row>
    <row r="16" spans="1:28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R16" t="s">
        <v>16</v>
      </c>
      <c r="S16">
        <f>IF(OR($F$7="All months",$F$7=R16),IF($B$7="All stores",SUMIFS('Data Model'!$D$2:$D$19,'Data Model'!$C$2:$C$19,R16),SUMIFS('Data Model'!$D$2:$D$19,'Data Model'!$B$2:$B$19,$B$7,'Data Model'!$C$2:$C$19,R16)),0)</f>
        <v>81677.739999999991</v>
      </c>
      <c r="T16">
        <f>IF(OR($F$7="All months",$F$7=R16),IF($B$7="All stores",SUMIFS('Data Model'!$E$2:$E$19,'Data Model'!$C$2:$C$19,R16),SUMIFS('Data Model'!$E$2:$E$19,'Data Model'!$B$2:$B$19,$B$7,'Data Model'!$C$2:$C$19,R16)),0)</f>
        <v>24870</v>
      </c>
      <c r="U16">
        <f>IF(OR($F$7="All months",$F$7=R16),IF($B$7="All stores",SUMIFS('Data Model'!$F$2:$F$19,'Data Model'!$C$2:$C$19,R16),SUMIFS('Data Model'!$F$2:$F$19,'Data Model'!$B$2:$B$19,$B$7,'Data Model'!$C$2:$C$19,R16)),0)</f>
        <v>17314</v>
      </c>
      <c r="V16" t="s">
        <v>17</v>
      </c>
      <c r="W16">
        <f>IF($F$7="All months",SUMIFS('Data Model'!$D$20:$D$73,'Data Model'!$B$20:$B$73,V16),SUMIFS('Data Model'!$D$20:$D$73,'Data Model'!$B$20:$B$73,V16,'Data Model'!$C$20:$C$73,$F$7))</f>
        <v>82315.64</v>
      </c>
      <c r="Y16" t="s">
        <v>38</v>
      </c>
      <c r="Z16">
        <f>IF($F$7="All months",SUMIFS('Data Model'!$D$2:$D$19,'Data Model'!$B$2:$B$19,Y16),SUMIFS('Data Model'!$D$2:$D$19,'Data Model'!$B$2:$B$19,Y16,'Data Model'!$C$2:$C$19,$F$7))</f>
        <v>232243.91</v>
      </c>
      <c r="AA16">
        <f>IF($F$7="All months",SUMIFS('Data Model'!$E$2:$E$19,'Data Model'!$B$2:$B$19,Y16),SUMIFS('Data Model'!$E$2:$E$19,'Data Model'!$B$2:$B$19,Y16,'Data Model'!$C$2:$C$19,$F$7))</f>
        <v>70991</v>
      </c>
      <c r="AB16">
        <f>IF($F$7="All months",SUMIFS('Data Model'!$F$2:$F$19,'Data Model'!$B$2:$B$19,Y16),SUMIFS('Data Model'!$F$2:$F$19,'Data Model'!$B$2:$B$19,Y16,'Data Model'!$C$2:$C$19,$F$7))</f>
        <v>50599</v>
      </c>
    </row>
    <row r="17" spans="1:28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R17" t="s">
        <v>18</v>
      </c>
      <c r="S17">
        <f>IF(OR($F$7="All months",$F$7=R17),IF($B$7="All stores",SUMIFS('Data Model'!$D$2:$D$19,'Data Model'!$C$2:$C$19,R17),SUMIFS('Data Model'!$D$2:$D$19,'Data Model'!$B$2:$B$19,$B$7,'Data Model'!$C$2:$C$19,R17)),0)</f>
        <v>76145.19</v>
      </c>
      <c r="T17">
        <f>IF(OR($F$7="All months",$F$7=R17),IF($B$7="All stores",SUMIFS('Data Model'!$E$2:$E$19,'Data Model'!$C$2:$C$19,R17),SUMIFS('Data Model'!$E$2:$E$19,'Data Model'!$B$2:$B$19,$B$7,'Data Model'!$C$2:$C$19,R17)),0)</f>
        <v>23550</v>
      </c>
      <c r="U17">
        <f>IF(OR($F$7="All months",$F$7=R17),IF($B$7="All stores",SUMIFS('Data Model'!$F$2:$F$19,'Data Model'!$C$2:$C$19,R17),SUMIFS('Data Model'!$F$2:$F$19,'Data Model'!$B$2:$B$19,$B$7,'Data Model'!$C$2:$C$19,R17)),0)</f>
        <v>16359</v>
      </c>
      <c r="V17" t="s">
        <v>19</v>
      </c>
      <c r="W17">
        <f>IF($F$7="All months",SUMIFS('Data Model'!$D$20:$D$73,'Data Model'!$B$20:$B$73,V17),SUMIFS('Data Model'!$D$20:$D$73,'Data Model'!$B$20:$B$73,V17,'Data Model'!$C$20:$C$73,$F$7))</f>
        <v>13607</v>
      </c>
      <c r="Y17" t="s">
        <v>39</v>
      </c>
      <c r="Z17">
        <f>IF($F$7="All months",SUMIFS('Data Model'!$D$2:$D$19,'Data Model'!$B$2:$B$19,Y17),SUMIFS('Data Model'!$D$2:$D$19,'Data Model'!$B$2:$B$19,Y17,'Data Model'!$C$2:$C$19,$F$7))</f>
        <v>236511.16999999998</v>
      </c>
      <c r="AA17">
        <f>IF($F$7="All months",SUMIFS('Data Model'!$E$2:$E$19,'Data Model'!$B$2:$B$19,Y17),SUMIFS('Data Model'!$E$2:$E$19,'Data Model'!$B$2:$B$19,Y17,'Data Model'!$C$2:$C$19,$F$7))</f>
        <v>71737</v>
      </c>
      <c r="AB17">
        <f>IF($F$7="All months",SUMIFS('Data Model'!$F$2:$F$19,'Data Model'!$B$2:$B$19,Y17),SUMIFS('Data Model'!$F$2:$F$19,'Data Model'!$B$2:$B$19,Y17,'Data Model'!$C$2:$C$19,$F$7))</f>
        <v>50735</v>
      </c>
    </row>
    <row r="18" spans="1:2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R18" t="s">
        <v>20</v>
      </c>
      <c r="S18">
        <f>IF(OR($F$7="All months",$F$7=R18),IF($B$7="All stores",SUMIFS('Data Model'!$D$2:$D$19,'Data Model'!$C$2:$C$19,R18),SUMIFS('Data Model'!$D$2:$D$19,'Data Model'!$B$2:$B$19,$B$7,'Data Model'!$C$2:$C$19,R18)),0)</f>
        <v>98834.68</v>
      </c>
      <c r="T18">
        <f>IF(OR($F$7="All months",$F$7=R18),IF($B$7="All stores",SUMIFS('Data Model'!$E$2:$E$19,'Data Model'!$C$2:$C$19,R18),SUMIFS('Data Model'!$E$2:$E$19,'Data Model'!$B$2:$B$19,$B$7,'Data Model'!$C$2:$C$19,R18)),0)</f>
        <v>30406</v>
      </c>
      <c r="U18">
        <f>IF(OR($F$7="All months",$F$7=R18),IF($B$7="All stores",SUMIFS('Data Model'!$F$2:$F$19,'Data Model'!$C$2:$C$19,R18),SUMIFS('Data Model'!$F$2:$F$19,'Data Model'!$B$2:$B$19,$B$7,'Data Model'!$C$2:$C$19,R18)),0)</f>
        <v>21229</v>
      </c>
      <c r="V18" t="s">
        <v>21</v>
      </c>
      <c r="W18">
        <f>IF($F$7="All months",SUMIFS('Data Model'!$D$20:$D$73,'Data Model'!$B$20:$B$73,V18),SUMIFS('Data Model'!$D$20:$D$73,'Data Model'!$B$20:$B$73,V18,'Data Model'!$C$20:$C$73,$F$7))</f>
        <v>269952.45</v>
      </c>
      <c r="Y18" t="s">
        <v>40</v>
      </c>
      <c r="Z18">
        <f>IF($F$7="All months",SUMIFS('Data Model'!$D$2:$D$19,'Data Model'!$B$2:$B$19,Y18),SUMIFS('Data Model'!$D$2:$D$19,'Data Model'!$B$2:$B$19,Y18,'Data Model'!$C$2:$C$19,$F$7))</f>
        <v>230057.25</v>
      </c>
      <c r="AA18">
        <f>IF($F$7="All months",SUMIFS('Data Model'!$E$2:$E$19,'Data Model'!$B$2:$B$19,Y18),SUMIFS('Data Model'!$E$2:$E$19,'Data Model'!$B$2:$B$19,Y18,'Data Model'!$C$2:$C$19,$F$7))</f>
        <v>71742</v>
      </c>
      <c r="AB18">
        <f>IF($F$7="All months",SUMIFS('Data Model'!$F$2:$F$19,'Data Model'!$B$2:$B$19,Y18),SUMIFS('Data Model'!$F$2:$F$19,'Data Model'!$B$2:$B$19,Y18,'Data Model'!$C$2:$C$19,$F$7))</f>
        <v>47782</v>
      </c>
    </row>
    <row r="19" spans="1:28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R19" t="s">
        <v>22</v>
      </c>
      <c r="S19">
        <f>IF(OR($F$7="All months",$F$7=R19),IF($B$7="All stores",SUMIFS('Data Model'!$D$2:$D$19,'Data Model'!$C$2:$C$19,R19),SUMIFS('Data Model'!$D$2:$D$19,'Data Model'!$B$2:$B$19,$B$7,'Data Model'!$C$2:$C$19,R19)),0)</f>
        <v>118941.08</v>
      </c>
      <c r="T19">
        <f>IF(OR($F$7="All months",$F$7=R19),IF($B$7="All stores",SUMIFS('Data Model'!$E$2:$E$19,'Data Model'!$C$2:$C$19,R19),SUMIFS('Data Model'!$E$2:$E$19,'Data Model'!$B$2:$B$19,$B$7,'Data Model'!$C$2:$C$19,R19)),0)</f>
        <v>36469</v>
      </c>
      <c r="U19">
        <f>IF(OR($F$7="All months",$F$7=R19),IF($B$7="All stores",SUMIFS('Data Model'!$F$2:$F$19,'Data Model'!$C$2:$C$19,R19),SUMIFS('Data Model'!$F$2:$F$19,'Data Model'!$B$2:$B$19,$B$7,'Data Model'!$C$2:$C$19,R19)),0)</f>
        <v>25335</v>
      </c>
      <c r="V19" t="s">
        <v>23</v>
      </c>
      <c r="W19">
        <f>IF($F$7="All months",SUMIFS('Data Model'!$D$20:$D$73,'Data Model'!$B$20:$B$73,V19),SUMIFS('Data Model'!$D$20:$D$73,'Data Model'!$B$20:$B$73,V19,'Data Model'!$C$20:$C$73,$F$7))</f>
        <v>40085.25</v>
      </c>
    </row>
    <row r="20" spans="1:28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R20" t="s">
        <v>24</v>
      </c>
      <c r="S20">
        <f>IF(OR($F$7="All months",$F$7=R20),IF($B$7="All stores",SUMIFS('Data Model'!$D$2:$D$19,'Data Model'!$C$2:$C$19,R20),SUMIFS('Data Model'!$D$2:$D$19,'Data Model'!$B$2:$B$19,$B$7,'Data Model'!$C$2:$C$19,R20)),0)</f>
        <v>156727.76</v>
      </c>
      <c r="T20">
        <f>IF(OR($F$7="All months",$F$7=R20),IF($B$7="All stores",SUMIFS('Data Model'!$E$2:$E$19,'Data Model'!$C$2:$C$19,R20),SUMIFS('Data Model'!$E$2:$E$19,'Data Model'!$B$2:$B$19,$B$7,'Data Model'!$C$2:$C$19,R20)),0)</f>
        <v>48233</v>
      </c>
      <c r="U20">
        <f>IF(OR($F$7="All months",$F$7=R20),IF($B$7="All stores",SUMIFS('Data Model'!$F$2:$F$19,'Data Model'!$C$2:$C$19,R20),SUMIFS('Data Model'!$F$2:$F$19,'Data Model'!$B$2:$B$19,$B$7,'Data Model'!$C$2:$C$19,R20)),0)</f>
        <v>33527</v>
      </c>
      <c r="V20" t="s">
        <v>25</v>
      </c>
      <c r="W20">
        <f>IF($F$7="All months",SUMIFS('Data Model'!$D$20:$D$73,'Data Model'!$B$20:$B$73,V20),SUMIFS('Data Model'!$D$20:$D$73,'Data Model'!$B$20:$B$73,V20,'Data Model'!$C$20:$C$73,$F$7))</f>
        <v>72416</v>
      </c>
    </row>
    <row r="21" spans="1:28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R21" t="s">
        <v>26</v>
      </c>
      <c r="S21">
        <f>IF(OR($F$7="All months",$F$7=R21),IF($B$7="All stores",SUMIFS('Data Model'!$D$2:$D$19,'Data Model'!$C$2:$C$19,R21),SUMIFS('Data Model'!$D$2:$D$19,'Data Model'!$B$2:$B$19,$B$7,'Data Model'!$C$2:$C$19,R21)),0)</f>
        <v>166485.88</v>
      </c>
      <c r="T21">
        <f>IF(OR($F$7="All months",$F$7=R21),IF($B$7="All stores",SUMIFS('Data Model'!$E$2:$E$19,'Data Model'!$C$2:$C$19,R21),SUMIFS('Data Model'!$E$2:$E$19,'Data Model'!$B$2:$B$19,$B$7,'Data Model'!$C$2:$C$19,R21)),0)</f>
        <v>50942</v>
      </c>
      <c r="U21">
        <f>IF(OR($F$7="All months",$F$7=R21),IF($B$7="All stores",SUMIFS('Data Model'!$F$2:$F$19,'Data Model'!$C$2:$C$19,R21),SUMIFS('Data Model'!$F$2:$F$19,'Data Model'!$B$2:$B$19,$B$7,'Data Model'!$C$2:$C$19,R21)),0)</f>
        <v>35352</v>
      </c>
      <c r="V21" t="s">
        <v>27</v>
      </c>
      <c r="W21">
        <f>IF($F$7="All months",SUMIFS('Data Model'!$D$20:$D$73,'Data Model'!$B$20:$B$73,V21),SUMIFS('Data Model'!$D$20:$D$73,'Data Model'!$B$20:$B$73,V21,'Data Model'!$C$20:$C$73,$F$7))</f>
        <v>8408.8000000000011</v>
      </c>
    </row>
    <row r="22" spans="1:28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V22" t="s">
        <v>28</v>
      </c>
      <c r="W22">
        <f>IF($F$7="All months",SUMIFS('Data Model'!$D$20:$D$73,'Data Model'!$B$20:$B$73,V22),SUMIFS('Data Model'!$D$20:$D$73,'Data Model'!$B$20:$B$73,V22,'Data Model'!$C$20:$C$73,$F$7))</f>
        <v>11213.6</v>
      </c>
    </row>
    <row r="23" spans="1:28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V23" t="s">
        <v>29</v>
      </c>
      <c r="W23">
        <f>IF($F$7="All months",SUMIFS('Data Model'!$D$20:$D$73,'Data Model'!$B$20:$B$73,V23),SUMIFS('Data Model'!$D$20:$D$73,'Data Model'!$B$20:$B$73,V23,'Data Model'!$C$20:$C$73,$F$7))</f>
        <v>4407.6400000000003</v>
      </c>
    </row>
    <row r="24" spans="1:28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V24" t="s">
        <v>30</v>
      </c>
      <c r="W24">
        <f>IF($F$7="All months",SUMIFS('Data Model'!$D$20:$D$73,'Data Model'!$B$20:$B$73,V24),SUMIFS('Data Model'!$D$20:$D$73,'Data Model'!$B$20:$B$73,V24,'Data Model'!$C$20:$C$73,$F$7))</f>
        <v>196405.95</v>
      </c>
    </row>
    <row r="25" spans="1:28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28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28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28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28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28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28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</sheetData>
  <mergeCells count="12">
    <mergeCell ref="M10:O12"/>
    <mergeCell ref="B10:D12"/>
    <mergeCell ref="F9:H9"/>
    <mergeCell ref="F10:H12"/>
    <mergeCell ref="J9:L9"/>
    <mergeCell ref="J10:L12"/>
    <mergeCell ref="B2:O3"/>
    <mergeCell ref="B4:O4"/>
    <mergeCell ref="B7:D7"/>
    <mergeCell ref="F7:H7"/>
    <mergeCell ref="B9:D9"/>
    <mergeCell ref="M9:O9"/>
  </mergeCells>
  <dataValidations count="2">
    <dataValidation type="list" sqref="B7" xr:uid="{00000000-0002-0000-0300-000000000000}">
      <formula1>"All stores,Astoria,Hell's Kitchen,Lower Manhattan"</formula1>
    </dataValidation>
    <dataValidation type="list" sqref="F7" xr:uid="{00000000-0002-0000-0300-000001000000}">
      <formula1>"All months,Jan,Feb,Mar,Apr,May,Jun"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3"/>
  <sheetViews>
    <sheetView workbookViewId="0"/>
  </sheetViews>
  <sheetFormatPr defaultRowHeight="14"/>
  <cols>
    <col min="1" max="1" width="20" customWidth="1"/>
    <col min="2" max="2" width="25" customWidth="1"/>
    <col min="3" max="6" width="17" customWidth="1"/>
  </cols>
  <sheetData>
    <row r="1" spans="1:6">
      <c r="A1" s="1" t="s">
        <v>41</v>
      </c>
      <c r="B1" s="1" t="s">
        <v>42</v>
      </c>
      <c r="C1" s="1" t="s">
        <v>10</v>
      </c>
      <c r="D1" s="1" t="s">
        <v>43</v>
      </c>
      <c r="E1" s="1" t="s">
        <v>44</v>
      </c>
      <c r="F1" s="1" t="s">
        <v>13</v>
      </c>
    </row>
    <row r="2" spans="1:6">
      <c r="A2" t="s">
        <v>45</v>
      </c>
      <c r="B2" t="s">
        <v>38</v>
      </c>
      <c r="C2" t="s">
        <v>22</v>
      </c>
      <c r="D2">
        <v>39477.61</v>
      </c>
      <c r="E2">
        <v>12026</v>
      </c>
      <c r="F2">
        <v>8556</v>
      </c>
    </row>
    <row r="3" spans="1:6">
      <c r="A3" t="s">
        <v>45</v>
      </c>
      <c r="B3" t="s">
        <v>38</v>
      </c>
      <c r="C3" t="s">
        <v>18</v>
      </c>
      <c r="D3">
        <v>25105.34</v>
      </c>
      <c r="E3">
        <v>7718</v>
      </c>
      <c r="F3">
        <v>5490</v>
      </c>
    </row>
    <row r="4" spans="1:6">
      <c r="A4" t="s">
        <v>45</v>
      </c>
      <c r="B4" t="s">
        <v>38</v>
      </c>
      <c r="C4" t="s">
        <v>16</v>
      </c>
      <c r="D4">
        <v>27313.66</v>
      </c>
      <c r="E4">
        <v>8281</v>
      </c>
      <c r="F4">
        <v>5913</v>
      </c>
    </row>
    <row r="5" spans="1:6">
      <c r="A5" t="s">
        <v>45</v>
      </c>
      <c r="B5" t="s">
        <v>38</v>
      </c>
      <c r="C5" t="s">
        <v>26</v>
      </c>
      <c r="D5">
        <v>55083.11</v>
      </c>
      <c r="E5">
        <v>16853</v>
      </c>
      <c r="F5">
        <v>11985</v>
      </c>
    </row>
    <row r="6" spans="1:6">
      <c r="A6" t="s">
        <v>45</v>
      </c>
      <c r="B6" t="s">
        <v>38</v>
      </c>
      <c r="C6" t="s">
        <v>20</v>
      </c>
      <c r="D6">
        <v>32835.43</v>
      </c>
      <c r="E6">
        <v>9999</v>
      </c>
      <c r="F6">
        <v>7180</v>
      </c>
    </row>
    <row r="7" spans="1:6">
      <c r="A7" t="s">
        <v>45</v>
      </c>
      <c r="B7" t="s">
        <v>38</v>
      </c>
      <c r="C7" t="s">
        <v>24</v>
      </c>
      <c r="D7">
        <v>52428.76</v>
      </c>
      <c r="E7">
        <v>16114</v>
      </c>
      <c r="F7">
        <v>11475</v>
      </c>
    </row>
    <row r="8" spans="1:6">
      <c r="A8" t="s">
        <v>45</v>
      </c>
      <c r="B8" t="s">
        <v>39</v>
      </c>
      <c r="C8" t="s">
        <v>22</v>
      </c>
      <c r="D8">
        <v>40304.14</v>
      </c>
      <c r="E8">
        <v>12194</v>
      </c>
      <c r="F8">
        <v>8629</v>
      </c>
    </row>
    <row r="9" spans="1:6">
      <c r="A9" t="s">
        <v>45</v>
      </c>
      <c r="B9" t="s">
        <v>39</v>
      </c>
      <c r="C9" t="s">
        <v>18</v>
      </c>
      <c r="D9">
        <v>25719.8</v>
      </c>
      <c r="E9">
        <v>7937</v>
      </c>
      <c r="F9">
        <v>5606</v>
      </c>
    </row>
    <row r="10" spans="1:6">
      <c r="A10" t="s">
        <v>45</v>
      </c>
      <c r="B10" t="s">
        <v>39</v>
      </c>
      <c r="C10" t="s">
        <v>16</v>
      </c>
      <c r="D10">
        <v>27820.65</v>
      </c>
      <c r="E10">
        <v>8340</v>
      </c>
      <c r="F10">
        <v>5868</v>
      </c>
    </row>
    <row r="11" spans="1:6">
      <c r="A11" t="s">
        <v>45</v>
      </c>
      <c r="B11" t="s">
        <v>39</v>
      </c>
      <c r="C11" t="s">
        <v>26</v>
      </c>
      <c r="D11">
        <v>56957.08</v>
      </c>
      <c r="E11">
        <v>17124</v>
      </c>
      <c r="F11">
        <v>12071</v>
      </c>
    </row>
    <row r="12" spans="1:6">
      <c r="A12" t="s">
        <v>45</v>
      </c>
      <c r="B12" t="s">
        <v>39</v>
      </c>
      <c r="C12" t="s">
        <v>20</v>
      </c>
      <c r="D12">
        <v>33110.57</v>
      </c>
      <c r="E12">
        <v>10198</v>
      </c>
      <c r="F12">
        <v>7267</v>
      </c>
    </row>
    <row r="13" spans="1:6">
      <c r="A13" t="s">
        <v>45</v>
      </c>
      <c r="B13" t="s">
        <v>39</v>
      </c>
      <c r="C13" t="s">
        <v>24</v>
      </c>
      <c r="D13">
        <v>52598.93</v>
      </c>
      <c r="E13">
        <v>15944</v>
      </c>
      <c r="F13">
        <v>11294</v>
      </c>
    </row>
    <row r="14" spans="1:6">
      <c r="A14" t="s">
        <v>45</v>
      </c>
      <c r="B14" t="s">
        <v>40</v>
      </c>
      <c r="C14" t="s">
        <v>22</v>
      </c>
      <c r="D14">
        <v>39159.33</v>
      </c>
      <c r="E14">
        <v>12249</v>
      </c>
      <c r="F14">
        <v>8150</v>
      </c>
    </row>
    <row r="15" spans="1:6">
      <c r="A15" t="s">
        <v>45</v>
      </c>
      <c r="B15" t="s">
        <v>40</v>
      </c>
      <c r="C15" t="s">
        <v>18</v>
      </c>
      <c r="D15">
        <v>25320.05</v>
      </c>
      <c r="E15">
        <v>7895</v>
      </c>
      <c r="F15">
        <v>5263</v>
      </c>
    </row>
    <row r="16" spans="1:6">
      <c r="A16" t="s">
        <v>45</v>
      </c>
      <c r="B16" t="s">
        <v>40</v>
      </c>
      <c r="C16" t="s">
        <v>16</v>
      </c>
      <c r="D16">
        <v>26543.43</v>
      </c>
      <c r="E16">
        <v>8249</v>
      </c>
      <c r="F16">
        <v>5533</v>
      </c>
    </row>
    <row r="17" spans="1:6">
      <c r="A17" t="s">
        <v>45</v>
      </c>
      <c r="B17" t="s">
        <v>40</v>
      </c>
      <c r="C17" t="s">
        <v>26</v>
      </c>
      <c r="D17">
        <v>54445.69</v>
      </c>
      <c r="E17">
        <v>16965</v>
      </c>
      <c r="F17">
        <v>11296</v>
      </c>
    </row>
    <row r="18" spans="1:6">
      <c r="A18" t="s">
        <v>45</v>
      </c>
      <c r="B18" t="s">
        <v>40</v>
      </c>
      <c r="C18" t="s">
        <v>20</v>
      </c>
      <c r="D18">
        <v>32888.68</v>
      </c>
      <c r="E18">
        <v>10209</v>
      </c>
      <c r="F18">
        <v>6782</v>
      </c>
    </row>
    <row r="19" spans="1:6">
      <c r="A19" t="s">
        <v>45</v>
      </c>
      <c r="B19" t="s">
        <v>40</v>
      </c>
      <c r="C19" t="s">
        <v>24</v>
      </c>
      <c r="D19">
        <v>51700.07</v>
      </c>
      <c r="E19">
        <v>16175</v>
      </c>
      <c r="F19">
        <v>10758</v>
      </c>
    </row>
    <row r="20" spans="1:6">
      <c r="A20" t="s">
        <v>46</v>
      </c>
      <c r="B20" t="s">
        <v>17</v>
      </c>
      <c r="C20" t="s">
        <v>22</v>
      </c>
      <c r="D20">
        <v>14021.7</v>
      </c>
      <c r="E20">
        <v>3951</v>
      </c>
      <c r="F20">
        <v>3871</v>
      </c>
    </row>
    <row r="21" spans="1:6">
      <c r="A21" t="s">
        <v>46</v>
      </c>
      <c r="B21" t="s">
        <v>17</v>
      </c>
      <c r="C21" t="s">
        <v>18</v>
      </c>
      <c r="D21">
        <v>9038.82</v>
      </c>
      <c r="E21">
        <v>2559</v>
      </c>
      <c r="F21">
        <v>2518</v>
      </c>
    </row>
    <row r="22" spans="1:6">
      <c r="A22" t="s">
        <v>46</v>
      </c>
      <c r="B22" t="s">
        <v>17</v>
      </c>
      <c r="C22" t="s">
        <v>16</v>
      </c>
      <c r="D22">
        <v>9535.75</v>
      </c>
      <c r="E22">
        <v>2690</v>
      </c>
      <c r="F22">
        <v>2643</v>
      </c>
    </row>
    <row r="23" spans="1:6">
      <c r="A23" t="s">
        <v>46</v>
      </c>
      <c r="B23" t="s">
        <v>17</v>
      </c>
      <c r="C23" t="s">
        <v>26</v>
      </c>
      <c r="D23">
        <v>19251.27</v>
      </c>
      <c r="E23">
        <v>5431</v>
      </c>
      <c r="F23">
        <v>5333</v>
      </c>
    </row>
    <row r="24" spans="1:6">
      <c r="A24" t="s">
        <v>46</v>
      </c>
      <c r="B24" t="s">
        <v>17</v>
      </c>
      <c r="C24" t="s">
        <v>20</v>
      </c>
      <c r="D24">
        <v>11902.58</v>
      </c>
      <c r="E24">
        <v>3358</v>
      </c>
      <c r="F24">
        <v>3290</v>
      </c>
    </row>
    <row r="25" spans="1:6">
      <c r="A25" t="s">
        <v>46</v>
      </c>
      <c r="B25" t="s">
        <v>17</v>
      </c>
      <c r="C25" t="s">
        <v>24</v>
      </c>
      <c r="D25">
        <v>18565.52</v>
      </c>
      <c r="E25">
        <v>5225</v>
      </c>
      <c r="F25">
        <v>5141</v>
      </c>
    </row>
    <row r="26" spans="1:6">
      <c r="A26" t="s">
        <v>46</v>
      </c>
      <c r="B26" t="s">
        <v>19</v>
      </c>
      <c r="C26" t="s">
        <v>22</v>
      </c>
      <c r="D26">
        <v>2379</v>
      </c>
      <c r="E26">
        <v>142</v>
      </c>
      <c r="F26">
        <v>136</v>
      </c>
    </row>
    <row r="27" spans="1:6">
      <c r="A27" t="s">
        <v>46</v>
      </c>
      <c r="B27" t="s">
        <v>19</v>
      </c>
      <c r="C27" t="s">
        <v>18</v>
      </c>
      <c r="D27">
        <v>1235</v>
      </c>
      <c r="E27">
        <v>74</v>
      </c>
      <c r="F27">
        <v>73</v>
      </c>
    </row>
    <row r="28" spans="1:6">
      <c r="A28" t="s">
        <v>46</v>
      </c>
      <c r="B28" t="s">
        <v>19</v>
      </c>
      <c r="C28" t="s">
        <v>16</v>
      </c>
      <c r="D28">
        <v>1890</v>
      </c>
      <c r="E28">
        <v>100</v>
      </c>
      <c r="F28">
        <v>96</v>
      </c>
    </row>
    <row r="29" spans="1:6">
      <c r="A29" t="s">
        <v>46</v>
      </c>
      <c r="B29" t="s">
        <v>19</v>
      </c>
      <c r="C29" t="s">
        <v>26</v>
      </c>
      <c r="D29">
        <v>3413</v>
      </c>
      <c r="E29">
        <v>195</v>
      </c>
      <c r="F29">
        <v>184</v>
      </c>
    </row>
    <row r="30" spans="1:6">
      <c r="A30" t="s">
        <v>46</v>
      </c>
      <c r="B30" t="s">
        <v>19</v>
      </c>
      <c r="C30" t="s">
        <v>20</v>
      </c>
      <c r="D30">
        <v>1801</v>
      </c>
      <c r="E30">
        <v>104</v>
      </c>
      <c r="F30">
        <v>98</v>
      </c>
    </row>
    <row r="31" spans="1:6">
      <c r="A31" t="s">
        <v>46</v>
      </c>
      <c r="B31" t="s">
        <v>19</v>
      </c>
      <c r="C31" t="s">
        <v>24</v>
      </c>
      <c r="D31">
        <v>2889</v>
      </c>
      <c r="E31">
        <v>161</v>
      </c>
      <c r="F31">
        <v>160</v>
      </c>
    </row>
    <row r="32" spans="1:6">
      <c r="A32" t="s">
        <v>46</v>
      </c>
      <c r="B32" t="s">
        <v>21</v>
      </c>
      <c r="C32" t="s">
        <v>22</v>
      </c>
      <c r="D32">
        <v>45971.199999999997</v>
      </c>
      <c r="E32">
        <v>15210</v>
      </c>
      <c r="F32">
        <v>9930</v>
      </c>
    </row>
    <row r="33" spans="1:6">
      <c r="A33" t="s">
        <v>46</v>
      </c>
      <c r="B33" t="s">
        <v>21</v>
      </c>
      <c r="C33" t="s">
        <v>18</v>
      </c>
      <c r="D33">
        <v>29268.95</v>
      </c>
      <c r="E33">
        <v>9689</v>
      </c>
      <c r="F33">
        <v>6349</v>
      </c>
    </row>
    <row r="34" spans="1:6">
      <c r="A34" t="s">
        <v>46</v>
      </c>
      <c r="B34" t="s">
        <v>21</v>
      </c>
      <c r="C34" t="s">
        <v>16</v>
      </c>
      <c r="D34">
        <v>31256.85</v>
      </c>
      <c r="E34">
        <v>10355</v>
      </c>
      <c r="F34">
        <v>6791</v>
      </c>
    </row>
    <row r="35" spans="1:6">
      <c r="A35" t="s">
        <v>46</v>
      </c>
      <c r="B35" t="s">
        <v>21</v>
      </c>
      <c r="C35" t="s">
        <v>26</v>
      </c>
      <c r="D35">
        <v>64789</v>
      </c>
      <c r="E35">
        <v>21444</v>
      </c>
      <c r="F35">
        <v>14001</v>
      </c>
    </row>
    <row r="36" spans="1:6">
      <c r="A36" t="s">
        <v>46</v>
      </c>
      <c r="B36" t="s">
        <v>21</v>
      </c>
      <c r="C36" t="s">
        <v>20</v>
      </c>
      <c r="D36">
        <v>38303.599999999999</v>
      </c>
      <c r="E36">
        <v>12604</v>
      </c>
      <c r="F36">
        <v>8282</v>
      </c>
    </row>
    <row r="37" spans="1:6">
      <c r="A37" t="s">
        <v>46</v>
      </c>
      <c r="B37" t="s">
        <v>21</v>
      </c>
      <c r="C37" t="s">
        <v>24</v>
      </c>
      <c r="D37">
        <v>60362.85</v>
      </c>
      <c r="E37">
        <v>19948</v>
      </c>
      <c r="F37">
        <v>13063</v>
      </c>
    </row>
    <row r="38" spans="1:6">
      <c r="A38" t="s">
        <v>46</v>
      </c>
      <c r="B38" t="s">
        <v>23</v>
      </c>
      <c r="C38" t="s">
        <v>22</v>
      </c>
      <c r="D38">
        <v>6824.7</v>
      </c>
      <c r="E38">
        <v>310</v>
      </c>
      <c r="F38">
        <v>295</v>
      </c>
    </row>
    <row r="39" spans="1:6">
      <c r="A39" t="s">
        <v>46</v>
      </c>
      <c r="B39" t="s">
        <v>23</v>
      </c>
      <c r="C39" t="s">
        <v>18</v>
      </c>
      <c r="D39">
        <v>4077.5</v>
      </c>
      <c r="E39">
        <v>195</v>
      </c>
      <c r="F39">
        <v>195</v>
      </c>
    </row>
    <row r="40" spans="1:6">
      <c r="A40" t="s">
        <v>46</v>
      </c>
      <c r="B40" t="s">
        <v>23</v>
      </c>
      <c r="C40" t="s">
        <v>16</v>
      </c>
      <c r="D40">
        <v>5245.25</v>
      </c>
      <c r="E40">
        <v>234</v>
      </c>
      <c r="F40">
        <v>219</v>
      </c>
    </row>
    <row r="41" spans="1:6">
      <c r="A41" t="s">
        <v>46</v>
      </c>
      <c r="B41" t="s">
        <v>23</v>
      </c>
      <c r="C41" t="s">
        <v>26</v>
      </c>
      <c r="D41">
        <v>9912.65</v>
      </c>
      <c r="E41">
        <v>431</v>
      </c>
      <c r="F41">
        <v>401</v>
      </c>
    </row>
    <row r="42" spans="1:6">
      <c r="A42" t="s">
        <v>46</v>
      </c>
      <c r="B42" t="s">
        <v>23</v>
      </c>
      <c r="C42" t="s">
        <v>20</v>
      </c>
      <c r="D42">
        <v>5256.2</v>
      </c>
      <c r="E42">
        <v>251</v>
      </c>
      <c r="F42">
        <v>251</v>
      </c>
    </row>
    <row r="43" spans="1:6">
      <c r="A43" t="s">
        <v>46</v>
      </c>
      <c r="B43" t="s">
        <v>23</v>
      </c>
      <c r="C43" t="s">
        <v>24</v>
      </c>
      <c r="D43">
        <v>8768.9500000000007</v>
      </c>
      <c r="E43">
        <v>407</v>
      </c>
      <c r="F43">
        <v>392</v>
      </c>
    </row>
    <row r="44" spans="1:6">
      <c r="A44" t="s">
        <v>46</v>
      </c>
      <c r="B44" t="s">
        <v>25</v>
      </c>
      <c r="C44" t="s">
        <v>22</v>
      </c>
      <c r="D44">
        <v>12266.75</v>
      </c>
      <c r="E44">
        <v>2952</v>
      </c>
      <c r="F44">
        <v>1945</v>
      </c>
    </row>
    <row r="45" spans="1:6">
      <c r="A45" t="s">
        <v>46</v>
      </c>
      <c r="B45" t="s">
        <v>25</v>
      </c>
      <c r="C45" t="s">
        <v>18</v>
      </c>
      <c r="D45">
        <v>8132.25</v>
      </c>
      <c r="E45">
        <v>1964</v>
      </c>
      <c r="F45">
        <v>1295</v>
      </c>
    </row>
    <row r="46" spans="1:6">
      <c r="A46" t="s">
        <v>46</v>
      </c>
      <c r="B46" t="s">
        <v>25</v>
      </c>
      <c r="C46" t="s">
        <v>16</v>
      </c>
      <c r="D46">
        <v>8337.75</v>
      </c>
      <c r="E46">
        <v>2015</v>
      </c>
      <c r="F46">
        <v>1333</v>
      </c>
    </row>
    <row r="47" spans="1:6">
      <c r="A47" t="s">
        <v>46</v>
      </c>
      <c r="B47" t="s">
        <v>25</v>
      </c>
      <c r="C47" t="s">
        <v>26</v>
      </c>
      <c r="D47">
        <v>17106</v>
      </c>
      <c r="E47">
        <v>4121</v>
      </c>
      <c r="F47">
        <v>2694</v>
      </c>
    </row>
    <row r="48" spans="1:6">
      <c r="A48" t="s">
        <v>46</v>
      </c>
      <c r="B48" t="s">
        <v>25</v>
      </c>
      <c r="C48" t="s">
        <v>20</v>
      </c>
      <c r="D48">
        <v>10253.5</v>
      </c>
      <c r="E48">
        <v>2475</v>
      </c>
      <c r="F48">
        <v>1620</v>
      </c>
    </row>
    <row r="49" spans="1:6">
      <c r="A49" t="s">
        <v>46</v>
      </c>
      <c r="B49" t="s">
        <v>25</v>
      </c>
      <c r="C49" t="s">
        <v>24</v>
      </c>
      <c r="D49">
        <v>16319.75</v>
      </c>
      <c r="E49">
        <v>3930</v>
      </c>
      <c r="F49">
        <v>2581</v>
      </c>
    </row>
    <row r="50" spans="1:6">
      <c r="A50" t="s">
        <v>46</v>
      </c>
      <c r="B50" t="s">
        <v>27</v>
      </c>
      <c r="C50" t="s">
        <v>22</v>
      </c>
      <c r="D50">
        <v>1418.4</v>
      </c>
      <c r="E50">
        <v>1773</v>
      </c>
      <c r="F50">
        <v>1145</v>
      </c>
    </row>
    <row r="51" spans="1:6">
      <c r="A51" t="s">
        <v>46</v>
      </c>
      <c r="B51" t="s">
        <v>27</v>
      </c>
      <c r="C51" t="s">
        <v>18</v>
      </c>
      <c r="D51">
        <v>930.4</v>
      </c>
      <c r="E51">
        <v>1163</v>
      </c>
      <c r="F51">
        <v>747</v>
      </c>
    </row>
    <row r="52" spans="1:6">
      <c r="A52" t="s">
        <v>46</v>
      </c>
      <c r="B52" t="s">
        <v>27</v>
      </c>
      <c r="C52" t="s">
        <v>16</v>
      </c>
      <c r="D52">
        <v>974.4</v>
      </c>
      <c r="E52">
        <v>1218</v>
      </c>
      <c r="F52">
        <v>776</v>
      </c>
    </row>
    <row r="53" spans="1:6">
      <c r="A53" t="s">
        <v>46</v>
      </c>
      <c r="B53" t="s">
        <v>27</v>
      </c>
      <c r="C53" t="s">
        <v>26</v>
      </c>
      <c r="D53">
        <v>2008</v>
      </c>
      <c r="E53">
        <v>2510</v>
      </c>
      <c r="F53">
        <v>1629</v>
      </c>
    </row>
    <row r="54" spans="1:6">
      <c r="A54" t="s">
        <v>46</v>
      </c>
      <c r="B54" t="s">
        <v>27</v>
      </c>
      <c r="C54" t="s">
        <v>20</v>
      </c>
      <c r="D54">
        <v>1172</v>
      </c>
      <c r="E54">
        <v>1465</v>
      </c>
      <c r="F54">
        <v>946</v>
      </c>
    </row>
    <row r="55" spans="1:6">
      <c r="A55" t="s">
        <v>46</v>
      </c>
      <c r="B55" t="s">
        <v>27</v>
      </c>
      <c r="C55" t="s">
        <v>24</v>
      </c>
      <c r="D55">
        <v>1905.6</v>
      </c>
      <c r="E55">
        <v>2382</v>
      </c>
      <c r="F55">
        <v>1547</v>
      </c>
    </row>
    <row r="56" spans="1:6">
      <c r="A56" t="s">
        <v>46</v>
      </c>
      <c r="B56" t="s">
        <v>28</v>
      </c>
      <c r="C56" t="s">
        <v>22</v>
      </c>
      <c r="D56">
        <v>1829.15</v>
      </c>
      <c r="E56">
        <v>197</v>
      </c>
      <c r="F56">
        <v>197</v>
      </c>
    </row>
    <row r="57" spans="1:6">
      <c r="A57" t="s">
        <v>46</v>
      </c>
      <c r="B57" t="s">
        <v>28</v>
      </c>
      <c r="C57" t="s">
        <v>18</v>
      </c>
      <c r="D57">
        <v>1277.8499999999999</v>
      </c>
      <c r="E57">
        <v>137</v>
      </c>
      <c r="F57">
        <v>137</v>
      </c>
    </row>
    <row r="58" spans="1:6">
      <c r="A58" t="s">
        <v>46</v>
      </c>
      <c r="B58" t="s">
        <v>28</v>
      </c>
      <c r="C58" t="s">
        <v>16</v>
      </c>
      <c r="D58">
        <v>1293.8499999999999</v>
      </c>
      <c r="E58">
        <v>141</v>
      </c>
      <c r="F58">
        <v>141</v>
      </c>
    </row>
    <row r="59" spans="1:6">
      <c r="A59" t="s">
        <v>46</v>
      </c>
      <c r="B59" t="s">
        <v>28</v>
      </c>
      <c r="C59" t="s">
        <v>26</v>
      </c>
      <c r="D59">
        <v>2770.65</v>
      </c>
      <c r="E59">
        <v>298</v>
      </c>
      <c r="F59">
        <v>298</v>
      </c>
    </row>
    <row r="60" spans="1:6">
      <c r="A60" t="s">
        <v>46</v>
      </c>
      <c r="B60" t="s">
        <v>28</v>
      </c>
      <c r="C60" t="s">
        <v>20</v>
      </c>
      <c r="D60">
        <v>1646.95</v>
      </c>
      <c r="E60">
        <v>178</v>
      </c>
      <c r="F60">
        <v>178</v>
      </c>
    </row>
    <row r="61" spans="1:6">
      <c r="A61" t="s">
        <v>46</v>
      </c>
      <c r="B61" t="s">
        <v>28</v>
      </c>
      <c r="C61" t="s">
        <v>24</v>
      </c>
      <c r="D61">
        <v>2395.15</v>
      </c>
      <c r="E61">
        <v>259</v>
      </c>
      <c r="F61">
        <v>259</v>
      </c>
    </row>
    <row r="62" spans="1:6">
      <c r="A62" t="s">
        <v>46</v>
      </c>
      <c r="B62" t="s">
        <v>29</v>
      </c>
      <c r="C62" t="s">
        <v>22</v>
      </c>
      <c r="D62">
        <v>873.23</v>
      </c>
      <c r="E62">
        <v>95</v>
      </c>
      <c r="F62">
        <v>95</v>
      </c>
    </row>
    <row r="63" spans="1:6">
      <c r="A63" t="s">
        <v>46</v>
      </c>
      <c r="B63" t="s">
        <v>29</v>
      </c>
      <c r="C63" t="s">
        <v>18</v>
      </c>
      <c r="D63">
        <v>451.02</v>
      </c>
      <c r="E63">
        <v>51</v>
      </c>
      <c r="F63">
        <v>51</v>
      </c>
    </row>
    <row r="64" spans="1:6">
      <c r="A64" t="s">
        <v>46</v>
      </c>
      <c r="B64" t="s">
        <v>29</v>
      </c>
      <c r="C64" t="s">
        <v>16</v>
      </c>
      <c r="D64">
        <v>521.94000000000005</v>
      </c>
      <c r="E64">
        <v>57</v>
      </c>
      <c r="F64">
        <v>57</v>
      </c>
    </row>
    <row r="65" spans="1:6">
      <c r="A65" t="s">
        <v>46</v>
      </c>
      <c r="B65" t="s">
        <v>29</v>
      </c>
      <c r="C65" t="s">
        <v>26</v>
      </c>
      <c r="D65">
        <v>992.16</v>
      </c>
      <c r="E65">
        <v>111</v>
      </c>
      <c r="F65">
        <v>111</v>
      </c>
    </row>
    <row r="66" spans="1:6">
      <c r="A66" t="s">
        <v>46</v>
      </c>
      <c r="B66" t="s">
        <v>29</v>
      </c>
      <c r="C66" t="s">
        <v>20</v>
      </c>
      <c r="D66">
        <v>588.20000000000005</v>
      </c>
      <c r="E66">
        <v>65</v>
      </c>
      <c r="F66">
        <v>65</v>
      </c>
    </row>
    <row r="67" spans="1:6">
      <c r="A67" t="s">
        <v>46</v>
      </c>
      <c r="B67" t="s">
        <v>29</v>
      </c>
      <c r="C67" t="s">
        <v>24</v>
      </c>
      <c r="D67">
        <v>981.09</v>
      </c>
      <c r="E67">
        <v>108</v>
      </c>
      <c r="F67">
        <v>108</v>
      </c>
    </row>
    <row r="68" spans="1:6">
      <c r="A68" t="s">
        <v>46</v>
      </c>
      <c r="B68" t="s">
        <v>30</v>
      </c>
      <c r="C68" t="s">
        <v>22</v>
      </c>
      <c r="D68">
        <v>33356.949999999997</v>
      </c>
      <c r="E68">
        <v>11839</v>
      </c>
      <c r="F68">
        <v>7721</v>
      </c>
    </row>
    <row r="69" spans="1:6">
      <c r="A69" t="s">
        <v>46</v>
      </c>
      <c r="B69" t="s">
        <v>30</v>
      </c>
      <c r="C69" t="s">
        <v>18</v>
      </c>
      <c r="D69">
        <v>21733.4</v>
      </c>
      <c r="E69">
        <v>7718</v>
      </c>
      <c r="F69">
        <v>4994</v>
      </c>
    </row>
    <row r="70" spans="1:6">
      <c r="A70" t="s">
        <v>46</v>
      </c>
      <c r="B70" t="s">
        <v>30</v>
      </c>
      <c r="C70" t="s">
        <v>16</v>
      </c>
      <c r="D70">
        <v>22621.95</v>
      </c>
      <c r="E70">
        <v>8060</v>
      </c>
      <c r="F70">
        <v>5258</v>
      </c>
    </row>
    <row r="71" spans="1:6">
      <c r="A71" t="s">
        <v>46</v>
      </c>
      <c r="B71" t="s">
        <v>30</v>
      </c>
      <c r="C71" t="s">
        <v>26</v>
      </c>
      <c r="D71">
        <v>46243.15</v>
      </c>
      <c r="E71">
        <v>16401</v>
      </c>
      <c r="F71">
        <v>10701</v>
      </c>
    </row>
    <row r="72" spans="1:6">
      <c r="A72" t="s">
        <v>46</v>
      </c>
      <c r="B72" t="s">
        <v>30</v>
      </c>
      <c r="C72" t="s">
        <v>20</v>
      </c>
      <c r="D72">
        <v>27910.65</v>
      </c>
      <c r="E72">
        <v>9906</v>
      </c>
      <c r="F72">
        <v>6499</v>
      </c>
    </row>
    <row r="73" spans="1:6">
      <c r="A73" t="s">
        <v>46</v>
      </c>
      <c r="B73" t="s">
        <v>30</v>
      </c>
      <c r="C73" t="s">
        <v>24</v>
      </c>
      <c r="D73">
        <v>44539.85</v>
      </c>
      <c r="E73">
        <v>15813</v>
      </c>
      <c r="F73">
        <v>10276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 Executive Overview</vt:lpstr>
      <vt:lpstr>02 Sales &amp; Trends</vt:lpstr>
      <vt:lpstr>03 Product Intelligence</vt:lpstr>
      <vt:lpstr>04 Store Performance</vt:lpstr>
      <vt:lpstr>Data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Nompumelelo Mkolo</dc:creator>
  <cp:lastModifiedBy>Nompumelelo Mkolo</cp:lastModifiedBy>
  <dcterms:created xsi:type="dcterms:W3CDTF">2026-10-11T16:48:44Z</dcterms:created>
  <dcterms:modified xsi:type="dcterms:W3CDTF">2026-10-11T16:56:19Z</dcterms:modified>
</cp:coreProperties>
</file>